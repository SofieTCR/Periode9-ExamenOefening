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misha\Downloads\"/>
    </mc:Choice>
  </mc:AlternateContent>
  <xr:revisionPtr revIDLastSave="0" documentId="13_ncr:1_{065F66DC-EB18-479D-8E41-A72D4D70E28C}" xr6:coauthVersionLast="47" xr6:coauthVersionMax="47" xr10:uidLastSave="{00000000-0000-0000-0000-000000000000}"/>
  <bookViews>
    <workbookView xWindow="-110" yWindow="-110" windowWidth="25820" windowHeight="1550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functionGroups builtInGroupCount="19"/>
  <definedNames>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25" i="101" s="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<sst xmlns="http://schemas.openxmlformats.org/spreadsheetml/2006/main" count="334" uniqueCount="159">
  <si>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</si>
  <si>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</si>
  <si>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</si>
  <si>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</si>
  <si>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</si>
  <si>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</si>
  <si>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</si>
  <si>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</si>
  <si>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</si>
  <si>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</si>
  <si>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</si>
  <si>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</si>
  <si>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</si>
  <si>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</si>
  <si>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</si>
  <si>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</si>
  <si>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</si>
  <si>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</si>
  <si>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</si>
  <si>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</si>
  <si>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</si>
  <si>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</si>
  <si>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</si>
  <si>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</si>
  <si>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</si>
  <si>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</si>
  <si>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</si>
  <si>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</si>
  <si>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</si>
  <si>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</si>
  <si>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</si>
  <si>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</si>
  <si>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</si>
  <si>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</si>
  <si>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</si>
  <si>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</si>
  <si>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</si>
  <si>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</si>
  <si>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</si>
  <si>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</si>
  <si>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</si>
  <si>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</si>
  <si>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</si>
  <si>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</si>
  <si>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</si>
  <si>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</si>
  <si>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</si>
  <si>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</si>
  <si>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</si>
  <si>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</si>
  <si>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</si>
  <si>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</si>
  <si>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</si>
  <si>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</si>
  <si>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</si>
  <si>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</si>
  <si>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</si>
  <si>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</si>
  <si>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</si>
  <si>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</si>
  <si>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</si>
  <si>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</si>
  <si>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</si>
  <si>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</si>
  <si>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</si>
  <si>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</si>
  <si>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</si>
  <si>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</si>
  <si>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</si>
  <si>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</si>
  <si>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</si>
  <si>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</si>
  <si>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</si>
  <si>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</si>
  <si>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</si>
  <si>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</si>
  <si>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</si>
  <si>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</si>
  <si>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</si>
  <si>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</si>
  <si>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</si>
  <si>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</si>
  <si>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</si>
  <si>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</si>
  <si>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</si>
  <si>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</si>
  <si>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</si>
  <si>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</si>
  <si>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</si>
  <si>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</si>
  <si>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</si>
  <si>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</si>
  <si>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</si>
  <si>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</si>
  <si>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</si>
  <si>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</si>
  <si>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</si>
  <si>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</si>
  <si>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</si>
  <si>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</si>
  <si>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</si>
  <si>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</si>
  <si>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</si>
  <si>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</si>
  <si>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</si>
  <si>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</si>
  <si>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</si>
  <si>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</si>
  <si>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</si>
  <si>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</si>
  <si>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</si>
  <si>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</si>
  <si>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</si>
  <si>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</si>
  <si>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</si>
  <si>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</si>
  <si>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</si>
  <si>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</si>
  <si>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</si>
  <si>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</si>
  <si>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</si>
  <si>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</si>
  <si>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</si>
  <si>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</si>
  <si>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</si>
  <si>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</si>
  <si>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</si>
  <si>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</si>
  <si>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</si>
  <si>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</si>
  <si>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</si>
  <si>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</si>
  <si>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</si>
  <si>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</si>
  <si>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</si>
  <si>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</si>
  <si>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</si>
  <si>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</si>
  <si>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</si>
  <si>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</si>
  <si>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</si>
  <si>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</si>
  <si>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</si>
  <si>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</si>
  <si>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</si>
  <si>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</si>
  <si>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</si>
  <si>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</si>
  <si>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</si>
  <si>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</si>
  <si>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</si>
  <si>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</si>
  <si>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Misha Ho Sam Sooi</t>
  </si>
  <si>
    <t>Sofie Brink</t>
  </si>
  <si>
    <t>SOD3A</t>
  </si>
  <si>
    <t>Jullie samenwerken was goed afgestemt en de tempo lag heel goed.</t>
  </si>
  <si>
    <t>x</t>
  </si>
  <si>
    <t xml:space="preserve">Goed gedaan Sofie. </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</si>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</sst>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Bad" xfId="1" builtinId="27"/>
    <cellStyle name="Normal"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checked="Checked"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checked="Checked"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checked="Checked"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checked="Checked"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checked="Checked" fmlaLink="'B1-K2-W2'!$L$26"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checked="Checked"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checked="Checked"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checked="Checked" fmlaLink="'B1-K2-W3'!$L$26"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1073150</xdr:colOff>
          <xdr:row>29</xdr:row>
          <xdr:rowOff>25400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63500</xdr:colOff>
          <xdr:row>0</xdr:row>
          <xdr:rowOff>63500</xdr:rowOff>
        </xdr:from>
        <xdr:to>
          <xdr:col>6</xdr:col>
          <xdr:colOff>1562100</xdr:colOff>
          <xdr:row>0</xdr:row>
          <xdr:rowOff>336550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69850</xdr:colOff>
          <xdr:row>0</xdr:row>
          <xdr:rowOff>63500</xdr:rowOff>
        </xdr:from>
        <xdr:to>
          <xdr:col>7</xdr:col>
          <xdr:colOff>1568450</xdr:colOff>
          <xdr:row>0</xdr:row>
          <xdr:rowOff>336550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L" sz="1100" b="0" i="0" u="none" strike="noStrike" baseline="0">
                  <a:solidFill>
                    <a:srgbClr val="000000"/>
                  </a:solidFill>
                  <a:latin typeface="Calibri"/>
                  <a:ea typeface="Calibri"/>
                  <a:cs typeface="Calibri"/>
                </a:rPr>
                <a:t>Publiceren</a:t>
              </a:r>
            </a:p>
            <a:p>
              <a:pPr algn="ctr" rtl="0">
                <a:defRPr sz="1000"/>
              </a:pPr>
              <a:endParaRPr lang="en-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215900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215900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215900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215900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25400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25400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25400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25400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25400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25400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5" x14ac:dyDescent="0.35"/>
  <cols>
    <col min="2" max="2" width="33.1796875" customWidth="1"/>
    <col min="3" max="3" width="65.453125" customWidth="1"/>
  </cols>
  <sheetData>
    <row r="2" spans="2:3" x14ac:dyDescent="0.35">
      <c r="B2" t="s">
        <v>0</v>
      </c>
    </row>
    <row r="3" spans="2:3" x14ac:dyDescent="0.35">
      <c r="B3" s="2" t="s">
        <v>1</v>
      </c>
    </row>
    <row r="4" spans="2:3" x14ac:dyDescent="0.35">
      <c r="B4" s="2" t="s">
        <v>2</v>
      </c>
    </row>
    <row r="6" spans="2:3" x14ac:dyDescent="0.35">
      <c r="B6" t="s">
        <v>3</v>
      </c>
    </row>
    <row r="7" spans="2:3" x14ac:dyDescent="0.35">
      <c r="B7" s="2">
        <v>0</v>
      </c>
      <c r="C7" s="15" t="s">
        <v>4</v>
      </c>
    </row>
    <row r="9" spans="2:3" x14ac:dyDescent="0.35">
      <c r="B9" t="s">
        <v>5</v>
      </c>
    </row>
    <row r="10" spans="2:3" ht="45" customHeight="1" x14ac:dyDescent="0.35">
      <c r="B10" s="17" t="s">
        <v>6</v>
      </c>
      <c r="C10" s="20" t="s">
        <v>7</v>
      </c>
    </row>
    <row r="12" spans="2:3" x14ac:dyDescent="0.35">
      <c r="B12" t="s">
        <v>8</v>
      </c>
      <c r="C12" s="33"/>
    </row>
    <row r="15" spans="2:3" x14ac:dyDescent="0.35">
      <c r="B15" t="s">
        <v>9</v>
      </c>
      <c r="C15" s="39" t="s">
        <v>10</v>
      </c>
    </row>
    <row r="17" spans="2:3" x14ac:dyDescent="0.35">
      <c r="B17" t="s">
        <v>11</v>
      </c>
      <c r="C17" t="s">
        <v>12</v>
      </c>
    </row>
    <row r="19" spans="2:3" x14ac:dyDescent="0.35">
      <c r="B19" t="s">
        <v>13</v>
      </c>
      <c r="C19" s="51">
        <v>45</v>
      </c>
    </row>
    <row r="21" spans="2:3" x14ac:dyDescent="0.35">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5" x14ac:dyDescent="0.35"/>
  <cols>
    <col min="1" max="1" width="33.1796875" customWidth="1"/>
    <col min="2" max="3" width="33.54296875" customWidth="1"/>
  </cols>
  <sheetData>
    <row r="1" spans="1:6" ht="31" x14ac:dyDescent="0.7">
      <c r="A1" s="93" t="s">
        <v>16</v>
      </c>
      <c r="B1" s="93"/>
      <c r="C1" s="93"/>
    </row>
    <row r="3" spans="1:6" ht="24" customHeight="1" x14ac:dyDescent="0.35">
      <c r="A3" s="88" t="s">
        <v>17</v>
      </c>
      <c r="B3" s="89"/>
      <c r="C3" s="90"/>
    </row>
    <row r="4" spans="1:6" ht="2.25" customHeight="1" x14ac:dyDescent="0.35">
      <c r="A4" s="27"/>
      <c r="B4" s="35"/>
      <c r="C4" s="35"/>
    </row>
    <row r="5" spans="1:6" s="16" customFormat="1" ht="34.5" customHeight="1" x14ac:dyDescent="0.35">
      <c r="A5" s="52" t="s">
        <v>18</v>
      </c>
      <c r="B5" s="34" t="str">
        <f>KerntakenEnWerkprocessen!B4</f>
        <v>BF_SD_SD20_B1-K2_2</v>
      </c>
      <c r="C5" s="37">
        <f>KerntakenEnWerkprocessen!B3</f>
        <v>44131</v>
      </c>
    </row>
    <row r="6" spans="1:6" s="16" customFormat="1" ht="23.25" customHeight="1" x14ac:dyDescent="0.35">
      <c r="A6" s="53" t="s">
        <v>19</v>
      </c>
      <c r="B6" s="94" t="str">
        <f>KerntakenEnWerkprocessen!C6</f>
        <v>Praktijkexamen</v>
      </c>
      <c r="C6" s="95"/>
    </row>
    <row r="7" spans="1:6" s="16" customFormat="1" ht="23.25" customHeight="1" x14ac:dyDescent="0.35">
      <c r="A7" s="53" t="s">
        <v>20</v>
      </c>
      <c r="B7" s="94" t="str">
        <f>KerntakenEnWerkprocessen!B7</f>
        <v>[Examennaam]</v>
      </c>
      <c r="C7" s="95"/>
    </row>
    <row r="8" spans="1:6" s="16" customFormat="1" ht="23.25" customHeight="1" x14ac:dyDescent="0.35">
      <c r="A8" s="53" t="s">
        <v>21</v>
      </c>
      <c r="B8" s="94" t="str">
        <f>KerntakenEnWerkprocessen!C7</f>
        <v>[Examencode]</v>
      </c>
      <c r="C8" s="95"/>
    </row>
    <row r="9" spans="1:6" s="16" customFormat="1" ht="23.25" customHeight="1" x14ac:dyDescent="0.35">
      <c r="A9" s="53" t="s">
        <v>22</v>
      </c>
      <c r="B9" s="94" t="str">
        <f>KerntakenEnWerkprocessen!B9</f>
        <v>P1: Software developer, 4</v>
      </c>
      <c r="C9" s="95"/>
    </row>
    <row r="10" spans="1:6" s="16" customFormat="1" ht="23.25" customHeight="1" x14ac:dyDescent="0.35">
      <c r="A10" s="53" t="s">
        <v>23</v>
      </c>
      <c r="B10" s="94" t="str">
        <f>KerntakenEnWerkprocessen!B8</f>
        <v>Software development</v>
      </c>
      <c r="C10" s="95"/>
    </row>
    <row r="11" spans="1:6" s="16" customFormat="1" ht="23.25" customHeight="1" x14ac:dyDescent="0.35">
      <c r="A11" s="53" t="s">
        <v>24</v>
      </c>
      <c r="B11" s="19" t="str">
        <f>KerntakenEnWerkprocessen!C8</f>
        <v>2020 en verder</v>
      </c>
      <c r="C11" s="19">
        <f>KerntakenEnWerkprocessen!C9</f>
        <v>25604</v>
      </c>
    </row>
    <row r="12" spans="1:6" s="32" customFormat="1" ht="23.25" customHeight="1" x14ac:dyDescent="0.35">
      <c r="A12" s="54" t="s">
        <v>25</v>
      </c>
      <c r="B12" s="92" t="str">
        <f>KerntakenEnWerkprocessen!C5</f>
        <v>Werkt in een ontwikkelteam</v>
      </c>
      <c r="C12" s="92"/>
    </row>
    <row r="13" spans="1:6" s="16" customFormat="1" ht="2.15" customHeight="1" x14ac:dyDescent="0.35">
      <c r="A13" s="55"/>
      <c r="B13" s="28"/>
      <c r="C13" s="29"/>
    </row>
    <row r="14" spans="1:6" ht="222.75" customHeight="1" x14ac:dyDescent="0.35">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5" x14ac:dyDescent="0.35"/>
  <cols>
    <col min="1" max="1" width="18.1796875" customWidth="1"/>
    <col min="2" max="2" width="20.1796875" customWidth="1"/>
    <col min="3" max="3" width="17.26953125" customWidth="1"/>
    <col min="4" max="7" width="23.7265625" style="8" customWidth="1"/>
  </cols>
  <sheetData>
    <row r="1" spans="1:7" x14ac:dyDescent="0.35">
      <c r="A1" t="s">
        <v>27</v>
      </c>
      <c r="B1" s="6"/>
      <c r="C1" s="50" t="e">
        <f>VLOOKUP(B1,werkprocessen,2,FALSE)</f>
        <v>#N/A</v>
      </c>
    </row>
    <row r="2" spans="1:7" x14ac:dyDescent="0.35">
      <c r="A2" t="s">
        <v>28</v>
      </c>
      <c r="B2" s="6" t="e">
        <f>VLOOKUP(B1,KerntakenEnWerkprocessen!B13:E27,3,FALSE)</f>
        <v>#N/A</v>
      </c>
    </row>
    <row r="3" spans="1:7" x14ac:dyDescent="0.35">
      <c r="A3" t="s">
        <v>29</v>
      </c>
      <c r="B3" s="6" t="e">
        <f>VLOOKUP(B1,KerntakenEnWerkprocessen!B13:E27,4,FALSE)</f>
        <v>#N/A</v>
      </c>
    </row>
    <row r="4" spans="1:7" x14ac:dyDescent="0.35">
      <c r="A4" t="s">
        <v>30</v>
      </c>
      <c r="B4" s="6">
        <f>SUM(N:N)</f>
        <v>0</v>
      </c>
      <c r="C4" s="49" t="s">
        <v>31</v>
      </c>
      <c r="D4" s="48" t="b">
        <f>IF(SUM(O:O)&gt;0,TRUE,FALSE)</f>
        <v>0</v>
      </c>
    </row>
    <row r="5" spans="1:7" x14ac:dyDescent="0.35">
      <c r="A5" t="s">
        <v>32</v>
      </c>
      <c r="B5" s="6">
        <f>SUM(M:M)</f>
        <v>0</v>
      </c>
    </row>
    <row r="6" spans="1:7" x14ac:dyDescent="0.35">
      <c r="A6" t="s">
        <v>33</v>
      </c>
      <c r="B6" s="6">
        <f>COUNTIF(N:N,1)</f>
        <v>0</v>
      </c>
    </row>
    <row r="7" spans="1:7" x14ac:dyDescent="0.35">
      <c r="A7" t="s">
        <v>34</v>
      </c>
      <c r="B7" s="6">
        <f>COUNTIF(N:N,2)+COUNTIF(N:N,3)</f>
        <v>0</v>
      </c>
    </row>
    <row r="8" spans="1:7" x14ac:dyDescent="0.35">
      <c r="A8" t="s">
        <v>35</v>
      </c>
      <c r="B8" s="6">
        <f>0.5*B4</f>
        <v>0</v>
      </c>
    </row>
    <row r="10" spans="1:7" ht="36.75" customHeight="1" x14ac:dyDescent="0.7">
      <c r="B10" s="96" t="str">
        <f>CONCATENATE(kerntaakCode,": ",kerntaakNaam)</f>
        <v>B1-K2: Werkt in een ontwikkelteam</v>
      </c>
      <c r="C10" s="96"/>
      <c r="D10" s="96"/>
      <c r="E10" s="96"/>
      <c r="F10" s="96"/>
      <c r="G10" s="96"/>
    </row>
    <row r="11" spans="1:7" ht="28.5" customHeight="1" x14ac:dyDescent="0.6">
      <c r="B11" s="97" t="e">
        <f>CONCATENATE(VLOOKUP(B1,werkprocessen,1,FALSE),": ",C1)</f>
        <v>#N/A</v>
      </c>
      <c r="C11" s="97"/>
      <c r="D11" s="97"/>
      <c r="E11" s="97"/>
      <c r="F11" s="97"/>
      <c r="G11" s="97"/>
    </row>
    <row r="13" spans="1:7" ht="24" customHeight="1" x14ac:dyDescent="0.35">
      <c r="B13" s="88" t="s">
        <v>36</v>
      </c>
      <c r="C13" s="89"/>
      <c r="D13" s="89"/>
      <c r="E13" s="89"/>
      <c r="F13" s="89"/>
      <c r="G13" s="90"/>
    </row>
    <row r="14" spans="1:7" ht="22.5" customHeight="1" x14ac:dyDescent="0.35">
      <c r="B14" s="57" t="s">
        <v>37</v>
      </c>
      <c r="C14" s="11"/>
      <c r="D14" s="9"/>
      <c r="E14" s="9"/>
      <c r="F14" s="9"/>
      <c r="G14" s="13"/>
    </row>
    <row r="15" spans="1:7" ht="22.5" customHeight="1" x14ac:dyDescent="0.35">
      <c r="B15" s="57" t="s">
        <v>38</v>
      </c>
      <c r="C15" s="12"/>
      <c r="D15" s="10"/>
      <c r="E15" s="10"/>
      <c r="F15" s="10"/>
      <c r="G15" s="14"/>
    </row>
    <row r="16" spans="1:7" ht="22.5" customHeight="1" x14ac:dyDescent="0.35">
      <c r="B16" s="57" t="s">
        <v>39</v>
      </c>
      <c r="C16" s="12"/>
      <c r="D16" s="10"/>
      <c r="E16" s="10"/>
      <c r="F16" s="10"/>
      <c r="G16" s="14"/>
    </row>
    <row r="17" spans="2:7" ht="22.5" customHeight="1" x14ac:dyDescent="0.35">
      <c r="B17" s="57" t="s">
        <v>40</v>
      </c>
      <c r="C17" s="12"/>
      <c r="D17" s="10"/>
      <c r="E17" s="10"/>
      <c r="F17" s="10"/>
      <c r="G17" s="14"/>
    </row>
    <row r="18" spans="2:7" ht="22.5" customHeight="1" x14ac:dyDescent="0.35">
      <c r="B18" s="57" t="s">
        <v>41</v>
      </c>
      <c r="C18" s="12"/>
      <c r="D18" s="10"/>
      <c r="E18" s="10"/>
      <c r="F18" s="10"/>
      <c r="G18" s="14"/>
    </row>
    <row r="19" spans="2:7" ht="22.5" customHeight="1" x14ac:dyDescent="0.35">
      <c r="B19" s="57" t="s">
        <v>42</v>
      </c>
      <c r="C19" s="12"/>
      <c r="D19" s="10"/>
      <c r="E19" s="10"/>
      <c r="F19" s="10"/>
      <c r="G19" s="14"/>
    </row>
    <row r="20" spans="2:7" ht="23.25" customHeight="1" x14ac:dyDescent="0.3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5" x14ac:dyDescent="0.35"/>
  <cols>
    <col min="1" max="1" width="29.81640625" customWidth="1"/>
    <col min="2" max="2" width="28.26953125" customWidth="1"/>
    <col min="3" max="3" width="55.7265625" customWidth="1"/>
    <col min="4" max="5" width="16.453125" hidden="1" customWidth="1"/>
    <col min="6" max="6" width="53.54296875" hidden="1" customWidth="1"/>
    <col min="7" max="7" width="13.7265625" customWidth="1"/>
  </cols>
  <sheetData>
    <row r="1" spans="1:6" ht="36.75" customHeight="1" x14ac:dyDescent="0.35">
      <c r="A1" s="1" t="s">
        <v>43</v>
      </c>
    </row>
    <row r="2" spans="1:6" ht="187.5" hidden="1" customHeight="1" x14ac:dyDescent="0.35">
      <c r="A2" s="1"/>
      <c r="F2" s="18" t="str">
        <f>F27</f>
        <v xml:space="preserve">B1-K2-W1 Voert overleg
B1-K2-W2 Presenteert het opgeleverde werk
B1-K2-W3 Reflecteert op het werk
</v>
      </c>
    </row>
    <row r="3" spans="1:6" x14ac:dyDescent="0.35">
      <c r="A3" s="36" t="s">
        <v>44</v>
      </c>
      <c r="B3" s="47">
        <v>44131</v>
      </c>
    </row>
    <row r="4" spans="1:6" x14ac:dyDescent="0.35">
      <c r="A4" s="36" t="s">
        <v>45</v>
      </c>
      <c r="B4" s="98" t="s">
        <v>46</v>
      </c>
      <c r="C4" s="98"/>
    </row>
    <row r="5" spans="1:6" ht="15" customHeight="1" x14ac:dyDescent="0.35">
      <c r="A5" s="30" t="s">
        <v>25</v>
      </c>
      <c r="B5" s="38" t="s">
        <v>47</v>
      </c>
      <c r="C5" s="38" t="s">
        <v>48</v>
      </c>
    </row>
    <row r="6" spans="1:6" x14ac:dyDescent="0.35">
      <c r="A6" t="s">
        <v>19</v>
      </c>
      <c r="C6" s="38" t="s">
        <v>49</v>
      </c>
    </row>
    <row r="7" spans="1:6" x14ac:dyDescent="0.35">
      <c r="A7" t="s">
        <v>50</v>
      </c>
      <c r="B7" s="21" t="s">
        <v>51</v>
      </c>
      <c r="C7" s="38" t="s">
        <v>52</v>
      </c>
    </row>
    <row r="8" spans="1:6" x14ac:dyDescent="0.35">
      <c r="A8" t="s">
        <v>53</v>
      </c>
      <c r="B8" s="38" t="s">
        <v>54</v>
      </c>
      <c r="C8" s="38" t="s">
        <v>55</v>
      </c>
    </row>
    <row r="9" spans="1:6" ht="15" customHeight="1" x14ac:dyDescent="0.35">
      <c r="A9" s="40" t="s">
        <v>56</v>
      </c>
      <c r="B9" s="38" t="s">
        <v>57</v>
      </c>
      <c r="C9" s="38">
        <v>25604</v>
      </c>
    </row>
    <row r="12" spans="1:6" x14ac:dyDescent="0.35">
      <c r="A12" t="s">
        <v>26</v>
      </c>
      <c r="B12" s="3" t="s">
        <v>58</v>
      </c>
      <c r="C12" s="3" t="s">
        <v>59</v>
      </c>
      <c r="D12" s="4" t="s">
        <v>60</v>
      </c>
      <c r="E12" s="4" t="s">
        <v>61</v>
      </c>
      <c r="F12" s="4" t="s">
        <v>62</v>
      </c>
    </row>
    <row r="13" spans="1:6" x14ac:dyDescent="0.35">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5">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5">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5">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5">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1073150</xdr:colOff>
                    <xdr:row>29</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5" x14ac:dyDescent="0.35"/>
  <cols>
    <col min="1" max="1" width="26.54296875" customWidth="1"/>
    <col min="2" max="2" width="18.54296875" customWidth="1"/>
    <col min="3" max="3" width="18.54296875" hidden="1" customWidth="1"/>
    <col min="4" max="4" width="19.54296875" hidden="1" customWidth="1"/>
    <col min="5" max="5" width="8.26953125" customWidth="1"/>
    <col min="6" max="6" width="17.26953125" customWidth="1"/>
    <col min="7" max="7" width="19.7265625" customWidth="1"/>
    <col min="8" max="10" width="21.7265625" customWidth="1"/>
    <col min="11" max="11" width="8.26953125" bestFit="1" customWidth="1"/>
  </cols>
  <sheetData>
    <row r="1" spans="1:11" ht="30" customHeight="1" x14ac:dyDescent="0.35">
      <c r="A1" s="1" t="s">
        <v>70</v>
      </c>
    </row>
    <row r="2" spans="1:11" ht="15" customHeight="1" x14ac:dyDescent="0.35">
      <c r="A2" s="1"/>
    </row>
    <row r="3" spans="1:11" x14ac:dyDescent="0.35">
      <c r="A3" s="3" t="s">
        <v>71</v>
      </c>
      <c r="B3" s="3" t="s">
        <v>72</v>
      </c>
      <c r="C3" s="7" t="s">
        <v>73</v>
      </c>
      <c r="D3" s="7" t="s">
        <v>74</v>
      </c>
      <c r="E3" s="3" t="s">
        <v>75</v>
      </c>
      <c r="F3" s="3" t="s">
        <v>76</v>
      </c>
      <c r="G3" s="3" t="s">
        <v>77</v>
      </c>
      <c r="H3" s="3" t="s">
        <v>78</v>
      </c>
      <c r="I3" s="3" t="s">
        <v>79</v>
      </c>
      <c r="J3" s="3" t="s">
        <v>80</v>
      </c>
      <c r="K3" s="3" t="s">
        <v>81</v>
      </c>
    </row>
    <row r="4" spans="1:11" ht="293.25" customHeight="1" x14ac:dyDescent="0.35">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5">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5">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5">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5">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5">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5">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5">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5">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5">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5">
      <c r="A14" s="41"/>
      <c r="B14" s="42"/>
      <c r="C14" s="44" t="str">
        <f t="shared" si="0"/>
        <v/>
      </c>
      <c r="D14" s="45" t="str">
        <f>IF(C14&lt;&gt;"",CONCATENATE(C14,"-",COUNTIF($C$4:C14,C14),""),"")</f>
        <v/>
      </c>
      <c r="E14" s="31"/>
      <c r="F14" s="31"/>
      <c r="G14" s="31"/>
      <c r="H14" s="31"/>
      <c r="I14" s="24"/>
      <c r="J14" s="24"/>
      <c r="K14" s="43"/>
    </row>
    <row r="15" spans="1:11" ht="293.25" customHeight="1" x14ac:dyDescent="0.35">
      <c r="A15" s="41"/>
      <c r="B15" s="42"/>
      <c r="C15" s="44" t="str">
        <f t="shared" si="0"/>
        <v/>
      </c>
      <c r="D15" s="45" t="str">
        <f>IF(C15&lt;&gt;"",CONCATENATE(C15,"-",COUNTIF($C$4:C15,C15),""),"")</f>
        <v/>
      </c>
      <c r="E15" s="31"/>
      <c r="F15" s="31"/>
      <c r="G15" s="31"/>
      <c r="H15" s="31"/>
      <c r="I15" s="31"/>
      <c r="J15" s="31"/>
      <c r="K15" s="43"/>
    </row>
    <row r="16" spans="1:11" ht="293.25" customHeight="1" x14ac:dyDescent="0.35">
      <c r="A16" s="41"/>
      <c r="B16" s="42"/>
      <c r="C16" s="44" t="str">
        <f t="shared" si="0"/>
        <v/>
      </c>
      <c r="D16" s="45" t="str">
        <f>IF(C16&lt;&gt;"",CONCATENATE(C16,"-",COUNTIF($C$4:C16,C16),""),"")</f>
        <v/>
      </c>
      <c r="E16" s="31"/>
      <c r="F16" s="31"/>
      <c r="G16" s="31"/>
      <c r="H16" s="31"/>
      <c r="I16" s="31"/>
      <c r="J16" s="31"/>
      <c r="K16" s="43"/>
    </row>
    <row r="17" spans="1:11" ht="293.25" customHeight="1" x14ac:dyDescent="0.35">
      <c r="A17" s="41"/>
      <c r="B17" s="42"/>
      <c r="C17" s="44" t="str">
        <f t="shared" si="0"/>
        <v/>
      </c>
      <c r="D17" s="45" t="str">
        <f>IF(C17&lt;&gt;"",CONCATENATE(C17,"-",COUNTIF($C$4:C17,C17),""),"")</f>
        <v/>
      </c>
      <c r="E17" s="31"/>
      <c r="F17" s="31"/>
      <c r="G17" s="31"/>
      <c r="H17" s="31"/>
      <c r="I17" s="31"/>
      <c r="J17" s="31"/>
      <c r="K17" s="43"/>
    </row>
    <row r="18" spans="1:11" ht="293.25" customHeight="1" x14ac:dyDescent="0.35">
      <c r="A18" s="41"/>
      <c r="B18" s="42"/>
      <c r="C18" s="44" t="str">
        <f t="shared" si="0"/>
        <v/>
      </c>
      <c r="D18" s="45" t="str">
        <f>IF(C18&lt;&gt;"",CONCATENATE(C18,"-",COUNTIF($C$4:C18,C18),""),"")</f>
        <v/>
      </c>
      <c r="E18" s="31"/>
      <c r="F18" s="31"/>
      <c r="G18" s="31"/>
      <c r="H18" s="31"/>
      <c r="I18" s="31"/>
      <c r="J18" s="31"/>
      <c r="K18" s="43"/>
    </row>
    <row r="19" spans="1:11" ht="293.25" customHeight="1" x14ac:dyDescent="0.35">
      <c r="A19" s="41"/>
      <c r="B19" s="42"/>
      <c r="C19" s="44" t="str">
        <f t="shared" si="0"/>
        <v/>
      </c>
      <c r="D19" s="45" t="str">
        <f>IF(C19&lt;&gt;"",CONCATENATE(C19,"-",COUNTIF($C$4:C19,C19),""),"")</f>
        <v/>
      </c>
      <c r="E19" s="31"/>
      <c r="F19" s="31"/>
      <c r="G19" s="31"/>
      <c r="H19" s="31"/>
      <c r="I19" s="31"/>
      <c r="J19" s="31"/>
      <c r="K19" s="43"/>
    </row>
    <row r="20" spans="1:11" ht="293.25" customHeight="1" x14ac:dyDescent="0.35">
      <c r="A20" s="41"/>
      <c r="B20" s="42"/>
      <c r="C20" s="44" t="str">
        <f t="shared" si="0"/>
        <v/>
      </c>
      <c r="D20" s="45" t="str">
        <f>IF(C20&lt;&gt;"",CONCATENATE(C20,"-",COUNTIF($C$4:C20,C20),""),"")</f>
        <v/>
      </c>
      <c r="E20" s="31"/>
      <c r="F20" s="31"/>
      <c r="G20" s="31"/>
      <c r="H20" s="31"/>
      <c r="I20" s="31"/>
      <c r="J20" s="31"/>
      <c r="K20" s="43"/>
    </row>
    <row r="21" spans="1:11" ht="293.25" customHeight="1" x14ac:dyDescent="0.35">
      <c r="A21" s="41"/>
      <c r="B21" s="42"/>
      <c r="C21" s="44" t="str">
        <f t="shared" si="0"/>
        <v/>
      </c>
      <c r="D21" s="45" t="str">
        <f>IF(C21&lt;&gt;"",CONCATENATE(C21,"-",COUNTIF($C$4:C21,C21),""),"")</f>
        <v/>
      </c>
      <c r="E21" s="31"/>
      <c r="F21" s="31"/>
      <c r="G21" s="31"/>
      <c r="H21" s="31"/>
      <c r="I21" s="31"/>
      <c r="J21" s="31"/>
      <c r="K21" s="43"/>
    </row>
    <row r="22" spans="1:11" ht="293.25" customHeight="1" x14ac:dyDescent="0.35">
      <c r="A22" s="22"/>
      <c r="B22" s="23"/>
      <c r="C22" s="44" t="str">
        <f t="shared" si="0"/>
        <v/>
      </c>
      <c r="D22" s="45" t="str">
        <f>IF(C22&lt;&gt;"",CONCATENATE(C22,"-",COUNTIF($C$4:C22,C22),""),"")</f>
        <v/>
      </c>
      <c r="E22" s="24"/>
      <c r="F22" s="24"/>
      <c r="G22" s="24"/>
      <c r="H22" s="24"/>
      <c r="I22" s="24"/>
      <c r="J22" s="24"/>
      <c r="K22" s="25"/>
    </row>
    <row r="23" spans="1:11" ht="293.25" customHeight="1" x14ac:dyDescent="0.35">
      <c r="A23" s="22"/>
      <c r="B23" s="23"/>
      <c r="C23" s="44" t="str">
        <f t="shared" si="0"/>
        <v/>
      </c>
      <c r="D23" s="45" t="str">
        <f>IF(C23&lt;&gt;"",CONCATENATE(C23,"-",COUNTIF($C$4:C23,C23),""),"")</f>
        <v/>
      </c>
      <c r="E23" s="24"/>
      <c r="F23" s="24"/>
      <c r="G23" s="24"/>
      <c r="H23" s="24"/>
      <c r="I23" s="24"/>
      <c r="J23" s="24"/>
      <c r="K23" s="25"/>
    </row>
    <row r="24" spans="1:11" ht="293.25" customHeight="1" x14ac:dyDescent="0.35">
      <c r="A24" s="22"/>
      <c r="B24" s="23"/>
      <c r="C24" s="44" t="str">
        <f t="shared" si="0"/>
        <v/>
      </c>
      <c r="D24" s="45" t="str">
        <f>IF(C24&lt;&gt;"",CONCATENATE(C24,"-",COUNTIF($C$4:C24,C24),""),"")</f>
        <v/>
      </c>
      <c r="E24" s="24"/>
      <c r="F24" s="24"/>
      <c r="G24" s="24"/>
      <c r="H24" s="24"/>
      <c r="I24" s="24"/>
      <c r="J24" s="24"/>
      <c r="K24" s="25"/>
    </row>
    <row r="25" spans="1:11" ht="293.25" customHeight="1" x14ac:dyDescent="0.35">
      <c r="A25" s="22"/>
      <c r="B25" s="23"/>
      <c r="C25" s="44" t="str">
        <f t="shared" si="0"/>
        <v/>
      </c>
      <c r="D25" s="45" t="str">
        <f>IF(C25&lt;&gt;"",CONCATENATE(C25,"-",COUNTIF($C$4:C25,C25),""),"")</f>
        <v/>
      </c>
      <c r="E25" s="24"/>
      <c r="F25" s="24"/>
      <c r="G25" s="24"/>
      <c r="H25" s="24"/>
      <c r="I25" s="24"/>
      <c r="J25" s="24"/>
      <c r="K25" s="25"/>
    </row>
    <row r="26" spans="1:11" ht="293.25" customHeight="1" x14ac:dyDescent="0.35">
      <c r="A26" s="22"/>
      <c r="B26" s="23"/>
      <c r="C26" s="44" t="str">
        <f t="shared" si="0"/>
        <v/>
      </c>
      <c r="D26" s="45" t="str">
        <f>IF(C26&lt;&gt;"",CONCATENATE(C26,"-",COUNTIF($C$4:C26,C26),""),"")</f>
        <v/>
      </c>
      <c r="E26" s="24"/>
      <c r="F26" s="24"/>
      <c r="G26" s="24"/>
      <c r="H26" s="24"/>
      <c r="I26" s="24"/>
      <c r="J26" s="24"/>
      <c r="K26" s="25"/>
    </row>
    <row r="27" spans="1:11" ht="293.25" customHeight="1" x14ac:dyDescent="0.35">
      <c r="A27" s="22"/>
      <c r="B27" s="23"/>
      <c r="C27" s="44" t="str">
        <f t="shared" si="0"/>
        <v/>
      </c>
      <c r="D27" s="45" t="str">
        <f>IF(C27&lt;&gt;"",CONCATENATE(C27,"-",COUNTIF($C$4:C27,C27),""),"")</f>
        <v/>
      </c>
      <c r="E27" s="24"/>
      <c r="F27" s="24"/>
      <c r="G27" s="24"/>
      <c r="H27" s="24"/>
      <c r="I27" s="24"/>
      <c r="J27" s="24"/>
      <c r="K27" s="25"/>
    </row>
    <row r="28" spans="1:11" ht="293.25" customHeight="1" x14ac:dyDescent="0.35">
      <c r="A28" s="22"/>
      <c r="B28" s="23"/>
      <c r="C28" s="44" t="str">
        <f t="shared" si="0"/>
        <v/>
      </c>
      <c r="D28" s="45" t="str">
        <f>IF(C28&lt;&gt;"",CONCATENATE(C28,"-",COUNTIF($C$4:C28,C28),""),"")</f>
        <v/>
      </c>
      <c r="E28" s="24"/>
      <c r="F28" s="24"/>
      <c r="G28" s="24"/>
      <c r="H28" s="24"/>
      <c r="I28" s="24"/>
      <c r="J28" s="24"/>
      <c r="K28" s="25"/>
    </row>
    <row r="29" spans="1:11" ht="293.25" customHeight="1" x14ac:dyDescent="0.35">
      <c r="A29" s="22"/>
      <c r="B29" s="23"/>
      <c r="C29" s="44" t="str">
        <f t="shared" si="0"/>
        <v/>
      </c>
      <c r="D29" s="45" t="str">
        <f>IF(C29&lt;&gt;"",CONCATENATE(C29,"-",COUNTIF($C$4:C29,C29),""),"")</f>
        <v/>
      </c>
      <c r="E29" s="24"/>
      <c r="F29" s="24"/>
      <c r="G29" s="24"/>
      <c r="H29" s="24"/>
      <c r="I29" s="24"/>
      <c r="J29" s="24"/>
      <c r="K29" s="25"/>
    </row>
    <row r="30" spans="1:11" ht="293.25" customHeight="1" x14ac:dyDescent="0.35">
      <c r="A30" s="22"/>
      <c r="B30" s="23"/>
      <c r="C30" s="44" t="str">
        <f t="shared" si="0"/>
        <v/>
      </c>
      <c r="D30" s="45" t="str">
        <f>IF(C30&lt;&gt;"",CONCATENATE(C30,"-",COUNTIF($C$4:C30,C30),""),"")</f>
        <v/>
      </c>
      <c r="E30" s="24"/>
      <c r="F30" s="24"/>
      <c r="G30" s="24"/>
      <c r="H30" s="24"/>
      <c r="I30" s="24"/>
      <c r="J30" s="24"/>
      <c r="K30" s="25"/>
    </row>
    <row r="31" spans="1:11" ht="293.25" customHeight="1" x14ac:dyDescent="0.35">
      <c r="A31" s="22"/>
      <c r="B31" s="23"/>
      <c r="C31" s="44" t="str">
        <f t="shared" si="0"/>
        <v/>
      </c>
      <c r="D31" s="45" t="str">
        <f>IF(C31&lt;&gt;"",CONCATENATE(C31,"-",COUNTIF($C$4:C31,C31),""),"")</f>
        <v/>
      </c>
      <c r="E31" s="24"/>
      <c r="F31" s="24"/>
      <c r="G31" s="24"/>
      <c r="H31" s="24"/>
      <c r="I31" s="24"/>
      <c r="J31" s="24"/>
      <c r="K31" s="25"/>
    </row>
    <row r="32" spans="1:11" ht="293.25" customHeight="1" x14ac:dyDescent="0.35">
      <c r="A32" s="22"/>
      <c r="B32" s="23"/>
      <c r="C32" s="44" t="str">
        <f t="shared" si="0"/>
        <v/>
      </c>
      <c r="D32" s="45" t="str">
        <f>IF(C32&lt;&gt;"",CONCATENATE(C32,"-",COUNTIF($C$4:C32,C32),""),"")</f>
        <v/>
      </c>
      <c r="E32" s="24"/>
      <c r="F32" s="24"/>
      <c r="G32" s="24"/>
      <c r="H32" s="24"/>
      <c r="I32" s="24"/>
      <c r="J32" s="24"/>
      <c r="K32" s="25"/>
    </row>
    <row r="33" spans="1:11" ht="293.25" customHeight="1" x14ac:dyDescent="0.35">
      <c r="A33" s="22"/>
      <c r="B33" s="23"/>
      <c r="C33" s="44" t="str">
        <f t="shared" si="0"/>
        <v/>
      </c>
      <c r="D33" s="45" t="str">
        <f>IF(C33&lt;&gt;"",CONCATENATE(C33,"-",COUNTIF($C$4:C33,C33),""),"")</f>
        <v/>
      </c>
      <c r="E33" s="24"/>
      <c r="F33" s="24"/>
      <c r="G33" s="24"/>
      <c r="H33" s="24"/>
      <c r="I33" s="24"/>
      <c r="J33" s="24"/>
      <c r="K33" s="25"/>
    </row>
    <row r="34" spans="1:11" ht="293.25" customHeight="1" x14ac:dyDescent="0.35">
      <c r="A34" s="22"/>
      <c r="B34" s="23"/>
      <c r="C34" s="44" t="str">
        <f t="shared" si="0"/>
        <v/>
      </c>
      <c r="D34" s="45" t="str">
        <f>IF(C34&lt;&gt;"",CONCATENATE(C34,"-",COUNTIF($C$4:C34,C34),""),"")</f>
        <v/>
      </c>
      <c r="E34" s="24"/>
      <c r="F34" s="24"/>
      <c r="G34" s="24"/>
      <c r="H34" s="24"/>
      <c r="I34" s="24"/>
      <c r="J34" s="24"/>
      <c r="K34" s="25"/>
    </row>
    <row r="35" spans="1:11" ht="293.25" customHeight="1" x14ac:dyDescent="0.35">
      <c r="A35" s="22"/>
      <c r="B35" s="23"/>
      <c r="C35" s="44" t="str">
        <f t="shared" si="0"/>
        <v/>
      </c>
      <c r="D35" s="45" t="str">
        <f>IF(C35&lt;&gt;"",CONCATENATE(C35,"-",COUNTIF($C$4:C35,C35),""),"")</f>
        <v/>
      </c>
      <c r="E35" s="24"/>
      <c r="F35" s="24"/>
      <c r="G35" s="24"/>
      <c r="H35" s="24"/>
      <c r="I35" s="24"/>
      <c r="J35" s="24"/>
      <c r="K35" s="25"/>
    </row>
    <row r="36" spans="1:11" ht="293.25" customHeight="1" x14ac:dyDescent="0.35">
      <c r="A36" s="22"/>
      <c r="B36" s="23"/>
      <c r="C36" s="44" t="str">
        <f t="shared" si="0"/>
        <v/>
      </c>
      <c r="D36" s="45" t="str">
        <f>IF(C36&lt;&gt;"",CONCATENATE(C36,"-",COUNTIF($C$4:C36,C36),""),"")</f>
        <v/>
      </c>
      <c r="E36" s="24"/>
      <c r="F36" s="24"/>
      <c r="G36" s="24"/>
      <c r="H36" s="24"/>
      <c r="I36" s="24"/>
      <c r="J36" s="24"/>
      <c r="K36" s="25"/>
    </row>
    <row r="37" spans="1:11" ht="293.25" customHeight="1" x14ac:dyDescent="0.35">
      <c r="A37" s="41"/>
      <c r="B37" s="42"/>
      <c r="C37" s="44" t="str">
        <f t="shared" si="0"/>
        <v/>
      </c>
      <c r="D37" s="45" t="str">
        <f>IF(C37&lt;&gt;"",CONCATENATE(C37,"-",COUNTIF($C$4:C37,C37),""),"")</f>
        <v/>
      </c>
      <c r="E37" s="31"/>
      <c r="F37" s="31"/>
      <c r="G37" s="31"/>
      <c r="H37" s="31"/>
      <c r="I37" s="24"/>
      <c r="J37" s="24"/>
      <c r="K37" s="43"/>
    </row>
    <row r="38" spans="1:11" ht="293.25" customHeight="1" x14ac:dyDescent="0.35">
      <c r="A38" s="22"/>
      <c r="B38" s="23"/>
      <c r="C38" s="44" t="str">
        <f t="shared" si="0"/>
        <v/>
      </c>
      <c r="D38" s="45" t="str">
        <f>IF(C38&lt;&gt;"",CONCATENATE(C38,"-",COUNTIF($C$4:C38,C38),""),"")</f>
        <v/>
      </c>
      <c r="E38" s="24"/>
      <c r="F38" s="24"/>
      <c r="G38" s="24"/>
      <c r="H38" s="24"/>
      <c r="I38" s="24"/>
      <c r="J38" s="24"/>
      <c r="K38" s="25"/>
    </row>
    <row r="39" spans="1:11" ht="293.25" customHeight="1" x14ac:dyDescent="0.35">
      <c r="A39" s="22"/>
      <c r="B39" s="23"/>
      <c r="C39" s="44" t="str">
        <f t="shared" si="0"/>
        <v/>
      </c>
      <c r="D39" s="45" t="str">
        <f>IF(C39&lt;&gt;"",CONCATENATE(C39,"-",COUNTIF($C$4:C39,C39),""),"")</f>
        <v/>
      </c>
      <c r="E39" s="24"/>
      <c r="F39" s="24"/>
      <c r="G39" s="24"/>
      <c r="H39" s="24"/>
      <c r="I39" s="24"/>
      <c r="J39" s="24"/>
      <c r="K39" s="25"/>
    </row>
    <row r="40" spans="1:11" ht="293.25" customHeight="1" x14ac:dyDescent="0.35">
      <c r="A40" s="22"/>
      <c r="B40" s="23"/>
      <c r="C40" s="44" t="str">
        <f t="shared" si="0"/>
        <v/>
      </c>
      <c r="D40" s="45" t="str">
        <f>IF(C40&lt;&gt;"",CONCATENATE(C40,"-",COUNTIF($C$4:C40,C40),""),"")</f>
        <v/>
      </c>
      <c r="E40" s="24"/>
      <c r="F40" s="24"/>
      <c r="G40" s="24"/>
      <c r="H40" s="24"/>
      <c r="I40" s="24"/>
      <c r="J40" s="24"/>
      <c r="K40" s="25"/>
    </row>
    <row r="41" spans="1:11" ht="293.25" customHeight="1" x14ac:dyDescent="0.35">
      <c r="A41" s="22"/>
      <c r="B41" s="23"/>
      <c r="C41" s="44" t="str">
        <f t="shared" si="0"/>
        <v/>
      </c>
      <c r="D41" s="45" t="str">
        <f>IF(C41&lt;&gt;"",CONCATENATE(C41,"-",COUNTIF($C$4:C41,C41),""),"")</f>
        <v/>
      </c>
      <c r="E41" s="24"/>
      <c r="F41" s="24"/>
      <c r="G41" s="24"/>
      <c r="H41" s="24"/>
      <c r="I41" s="24"/>
      <c r="J41" s="24"/>
      <c r="K41" s="25"/>
    </row>
    <row r="42" spans="1:11" ht="293.25" customHeight="1" x14ac:dyDescent="0.35">
      <c r="A42" s="22"/>
      <c r="B42" s="23"/>
      <c r="C42" s="44" t="str">
        <f t="shared" si="0"/>
        <v/>
      </c>
      <c r="D42" s="45" t="str">
        <f>IF(C42&lt;&gt;"",CONCATENATE(C42,"-",COUNTIF($C$4:C42,C42),""),"")</f>
        <v/>
      </c>
      <c r="E42" s="24"/>
      <c r="F42" s="24"/>
      <c r="G42" s="24"/>
      <c r="H42" s="24"/>
      <c r="I42" s="24"/>
      <c r="J42" s="24"/>
      <c r="K42" s="25"/>
    </row>
    <row r="43" spans="1:11" ht="293.25" customHeight="1" x14ac:dyDescent="0.35">
      <c r="A43" s="22"/>
      <c r="B43" s="23"/>
      <c r="C43" s="44" t="str">
        <f t="shared" si="0"/>
        <v/>
      </c>
      <c r="D43" s="45" t="str">
        <f>IF(C43&lt;&gt;"",CONCATENATE(C43,"-",COUNTIF($C$4:C43,C43),""),"")</f>
        <v/>
      </c>
      <c r="E43" s="24"/>
      <c r="F43" s="24"/>
      <c r="G43" s="24"/>
      <c r="H43" s="24"/>
      <c r="I43" s="24"/>
      <c r="J43" s="24"/>
      <c r="K43" s="25"/>
    </row>
    <row r="44" spans="1:11" ht="293.25" customHeight="1" x14ac:dyDescent="0.35">
      <c r="A44" s="22"/>
      <c r="B44" s="23"/>
      <c r="C44" s="44" t="str">
        <f t="shared" si="0"/>
        <v/>
      </c>
      <c r="D44" s="45" t="str">
        <f>IF(C44&lt;&gt;"",CONCATENATE(C44,"-",COUNTIF($C$4:C44,C44),""),"")</f>
        <v/>
      </c>
      <c r="E44" s="24"/>
      <c r="F44" s="24"/>
      <c r="G44" s="24"/>
      <c r="H44" s="24"/>
      <c r="I44" s="24"/>
      <c r="J44" s="24"/>
      <c r="K44" s="25"/>
    </row>
    <row r="45" spans="1:11" ht="293.25" customHeight="1" x14ac:dyDescent="0.35">
      <c r="A45" s="22"/>
      <c r="B45" s="23"/>
      <c r="C45" s="44" t="str">
        <f t="shared" si="0"/>
        <v/>
      </c>
      <c r="D45" s="45" t="str">
        <f>IF(C45&lt;&gt;"",CONCATENATE(C45,"-",COUNTIF($C$4:C45,C45),""),"")</f>
        <v/>
      </c>
      <c r="E45" s="24"/>
      <c r="F45" s="24"/>
      <c r="G45" s="24"/>
      <c r="H45" s="24"/>
      <c r="I45" s="24"/>
      <c r="J45" s="24"/>
      <c r="K45" s="25"/>
    </row>
    <row r="46" spans="1:11" ht="293.25" customHeight="1" x14ac:dyDescent="0.35">
      <c r="A46" s="22"/>
      <c r="B46" s="23"/>
      <c r="C46" s="44" t="str">
        <f t="shared" si="0"/>
        <v/>
      </c>
      <c r="D46" s="45" t="str">
        <f>IF(C46&lt;&gt;"",CONCATENATE(C46,"-",COUNTIF($C$4:C46,C46),""),"")</f>
        <v/>
      </c>
      <c r="E46" s="24"/>
      <c r="F46" s="24"/>
      <c r="G46" s="24"/>
      <c r="H46" s="24"/>
      <c r="I46" s="24"/>
      <c r="J46" s="24"/>
      <c r="K46" s="25"/>
    </row>
    <row r="47" spans="1:11" ht="293.25" customHeight="1" x14ac:dyDescent="0.35">
      <c r="A47" s="22"/>
      <c r="B47" s="23"/>
      <c r="C47" s="44" t="str">
        <f t="shared" si="0"/>
        <v/>
      </c>
      <c r="D47" s="45" t="str">
        <f>IF(C47&lt;&gt;"",CONCATENATE(C47,"-",COUNTIF($C$4:C47,C47),""),"")</f>
        <v/>
      </c>
      <c r="E47" s="24"/>
      <c r="F47" s="24"/>
      <c r="G47" s="24"/>
      <c r="H47" s="24"/>
      <c r="I47" s="24"/>
      <c r="J47" s="24"/>
      <c r="K47" s="25"/>
    </row>
    <row r="48" spans="1:11" ht="293.25" customHeight="1" x14ac:dyDescent="0.35">
      <c r="A48" s="22"/>
      <c r="B48" s="23"/>
      <c r="C48" s="44" t="str">
        <f t="shared" si="0"/>
        <v/>
      </c>
      <c r="D48" s="45" t="str">
        <f>IF(C48&lt;&gt;"",CONCATENATE(C48,"-",COUNTIF($C$4:C48,C48),""),"")</f>
        <v/>
      </c>
      <c r="E48" s="24"/>
      <c r="F48" s="24"/>
      <c r="G48" s="24"/>
      <c r="H48" s="24"/>
      <c r="I48" s="24"/>
      <c r="J48" s="24"/>
      <c r="K48" s="25"/>
    </row>
    <row r="49" spans="1:11" ht="293.25" customHeight="1" x14ac:dyDescent="0.35">
      <c r="A49" s="22"/>
      <c r="B49" s="23"/>
      <c r="C49" s="44" t="str">
        <f t="shared" si="0"/>
        <v/>
      </c>
      <c r="D49" s="45" t="str">
        <f>IF(C49&lt;&gt;"",CONCATENATE(C49,"-",COUNTIF($C$4:C49,C49),""),"")</f>
        <v/>
      </c>
      <c r="E49" s="24"/>
      <c r="F49" s="24"/>
      <c r="G49" s="24"/>
      <c r="H49" s="24"/>
      <c r="I49" s="24"/>
      <c r="J49" s="24"/>
      <c r="K49" s="25"/>
    </row>
    <row r="50" spans="1:11" ht="293.25" customHeight="1" x14ac:dyDescent="0.35">
      <c r="A50" s="22"/>
      <c r="B50" s="23"/>
      <c r="C50" s="44" t="str">
        <f t="shared" si="0"/>
        <v/>
      </c>
      <c r="D50" s="45" t="str">
        <f>IF(C50&lt;&gt;"",CONCATENATE(C50,"-",COUNTIF($C$4:C50,C50),""),"")</f>
        <v/>
      </c>
      <c r="E50" s="24"/>
      <c r="F50" s="24"/>
      <c r="G50" s="24"/>
      <c r="H50" s="24"/>
      <c r="I50" s="24"/>
      <c r="J50" s="24"/>
      <c r="K50" s="25"/>
    </row>
    <row r="51" spans="1:11" ht="293.25" customHeight="1" x14ac:dyDescent="0.35">
      <c r="A51" s="22"/>
      <c r="B51" s="23"/>
      <c r="C51" s="44" t="str">
        <f t="shared" si="0"/>
        <v/>
      </c>
      <c r="D51" s="45" t="str">
        <f>IF(C51&lt;&gt;"",CONCATENATE(C51,"-",COUNTIF($C$4:C51,C51),""),"")</f>
        <v/>
      </c>
      <c r="E51" s="24"/>
      <c r="F51" s="24"/>
      <c r="G51" s="24"/>
      <c r="H51" s="24"/>
      <c r="I51" s="24"/>
      <c r="J51" s="24"/>
      <c r="K51" s="25"/>
    </row>
    <row r="52" spans="1:11" ht="293.25" customHeight="1" x14ac:dyDescent="0.35">
      <c r="A52" s="22"/>
      <c r="B52" s="23"/>
      <c r="C52" s="44" t="str">
        <f t="shared" si="0"/>
        <v/>
      </c>
      <c r="D52" s="45" t="str">
        <f>IF(C52&lt;&gt;"",CONCATENATE(C52,"-",COUNTIF($C$4:C52,C52),""),"")</f>
        <v/>
      </c>
      <c r="E52" s="24"/>
      <c r="F52" s="24"/>
      <c r="G52" s="24"/>
      <c r="H52" s="24"/>
      <c r="I52" s="24"/>
      <c r="J52" s="24"/>
      <c r="K52" s="25"/>
    </row>
    <row r="53" spans="1:11" ht="293.25" customHeight="1" x14ac:dyDescent="0.35">
      <c r="A53" s="22"/>
      <c r="B53" s="23"/>
      <c r="C53" s="44" t="str">
        <f t="shared" si="0"/>
        <v/>
      </c>
      <c r="D53" s="45" t="str">
        <f>IF(C53&lt;&gt;"",CONCATENATE(C53,"-",COUNTIF($C$4:C53,C53),""),"")</f>
        <v/>
      </c>
      <c r="E53" s="24"/>
      <c r="F53" s="24"/>
      <c r="G53" s="24"/>
      <c r="H53" s="24"/>
      <c r="I53" s="24"/>
      <c r="J53" s="24"/>
      <c r="K53" s="25"/>
    </row>
    <row r="54" spans="1:11" ht="293.25" customHeight="1" x14ac:dyDescent="0.35">
      <c r="A54" s="22"/>
      <c r="B54" s="23"/>
      <c r="C54" s="44" t="str">
        <f t="shared" si="0"/>
        <v/>
      </c>
      <c r="D54" s="45" t="str">
        <f>IF(C54&lt;&gt;"",CONCATENATE(C54,"-",COUNTIF($C$4:C54,C54),""),"")</f>
        <v/>
      </c>
      <c r="E54" s="24"/>
      <c r="F54" s="24"/>
      <c r="G54" s="24"/>
      <c r="H54" s="24"/>
      <c r="I54" s="24"/>
      <c r="J54" s="24"/>
      <c r="K54" s="25"/>
    </row>
    <row r="55" spans="1:11" ht="293.25" customHeight="1" x14ac:dyDescent="0.35">
      <c r="A55" s="22"/>
      <c r="B55" s="23"/>
      <c r="C55" s="44" t="str">
        <f t="shared" si="0"/>
        <v/>
      </c>
      <c r="D55" s="45" t="str">
        <f>IF(C55&lt;&gt;"",CONCATENATE(C55,"-",COUNTIF($C$4:C55,C55),""),"")</f>
        <v/>
      </c>
      <c r="E55" s="24"/>
      <c r="F55" s="24"/>
      <c r="G55" s="24"/>
      <c r="H55" s="24"/>
      <c r="I55" s="24"/>
      <c r="J55" s="24"/>
      <c r="K55" s="25"/>
    </row>
    <row r="56" spans="1:11" ht="293.25" customHeight="1" x14ac:dyDescent="0.35">
      <c r="A56" s="22"/>
      <c r="B56" s="23"/>
      <c r="C56" s="44" t="str">
        <f t="shared" si="0"/>
        <v/>
      </c>
      <c r="D56" s="45" t="str">
        <f>IF(C56&lt;&gt;"",CONCATENATE(C56,"-",COUNTIF($C$4:C56,C56),""),"")</f>
        <v/>
      </c>
      <c r="E56" s="24"/>
      <c r="F56" s="24"/>
      <c r="G56" s="24"/>
      <c r="H56" s="24"/>
      <c r="I56" s="24"/>
      <c r="J56" s="24"/>
      <c r="K56" s="25"/>
    </row>
    <row r="57" spans="1:11" ht="293.25" customHeight="1" x14ac:dyDescent="0.35">
      <c r="A57" s="22"/>
      <c r="B57" s="23"/>
      <c r="C57" s="44" t="str">
        <f t="shared" si="0"/>
        <v/>
      </c>
      <c r="D57" s="45" t="str">
        <f>IF(C57&lt;&gt;"",CONCATENATE(C57,"-",COUNTIF($C$4:C57,C57),""),"")</f>
        <v/>
      </c>
      <c r="E57" s="24"/>
      <c r="F57" s="24"/>
      <c r="G57" s="24"/>
      <c r="H57" s="24"/>
      <c r="I57" s="24"/>
      <c r="J57" s="24"/>
      <c r="K57" s="25"/>
    </row>
    <row r="58" spans="1:11" ht="293.25" customHeight="1" x14ac:dyDescent="0.35">
      <c r="A58" s="22"/>
      <c r="B58" s="23"/>
      <c r="C58" s="44" t="str">
        <f t="shared" si="0"/>
        <v/>
      </c>
      <c r="D58" s="45" t="str">
        <f>IF(C58&lt;&gt;"",CONCATENATE(C58,"-",COUNTIF($C$4:C58,C58),""),"")</f>
        <v/>
      </c>
      <c r="E58" s="24"/>
      <c r="F58" s="24"/>
      <c r="G58" s="24"/>
      <c r="H58" s="24"/>
      <c r="I58" s="24"/>
      <c r="J58" s="24"/>
      <c r="K58" s="25"/>
    </row>
    <row r="59" spans="1:11" ht="293.25" customHeight="1" x14ac:dyDescent="0.35">
      <c r="A59" s="22"/>
      <c r="B59" s="23"/>
      <c r="C59" s="44" t="str">
        <f t="shared" si="0"/>
        <v/>
      </c>
      <c r="D59" s="45" t="str">
        <f>IF(C59&lt;&gt;"",CONCATENATE(C59,"-",COUNTIF($C$4:C59,C59),""),"")</f>
        <v/>
      </c>
      <c r="E59" s="24"/>
      <c r="F59" s="24"/>
      <c r="G59" s="24"/>
      <c r="H59" s="24"/>
      <c r="I59" s="24"/>
      <c r="J59" s="24"/>
      <c r="K59" s="25"/>
    </row>
    <row r="60" spans="1:11" ht="293.25" customHeight="1" x14ac:dyDescent="0.35">
      <c r="A60" s="22"/>
      <c r="B60" s="23"/>
      <c r="C60" s="44" t="str">
        <f t="shared" si="0"/>
        <v/>
      </c>
      <c r="D60" s="45" t="str">
        <f>IF(C60&lt;&gt;"",CONCATENATE(C60,"-",COUNTIF($C$4:C60,C60),""),"")</f>
        <v/>
      </c>
      <c r="E60" s="24"/>
      <c r="F60" s="24"/>
      <c r="G60" s="24"/>
      <c r="H60" s="24"/>
      <c r="I60" s="24"/>
      <c r="J60" s="24"/>
      <c r="K60" s="25"/>
    </row>
    <row r="61" spans="1:11" ht="293.25" customHeight="1" x14ac:dyDescent="0.35">
      <c r="A61" s="22"/>
      <c r="B61" s="23"/>
      <c r="C61" s="44" t="str">
        <f t="shared" si="0"/>
        <v/>
      </c>
      <c r="D61" s="45" t="str">
        <f>IF(C61&lt;&gt;"",CONCATENATE(C61,"-",COUNTIF($C$4:C61,C61),""),"")</f>
        <v/>
      </c>
      <c r="E61" s="24"/>
      <c r="F61" s="24"/>
      <c r="G61" s="24"/>
      <c r="H61" s="24"/>
      <c r="I61" s="24"/>
      <c r="J61" s="24"/>
      <c r="K61" s="25"/>
    </row>
    <row r="62" spans="1:11" ht="293.25" customHeight="1" x14ac:dyDescent="0.35">
      <c r="A62" s="22"/>
      <c r="B62" s="23"/>
      <c r="C62" s="44" t="str">
        <f t="shared" si="0"/>
        <v/>
      </c>
      <c r="D62" s="45" t="str">
        <f>IF(C62&lt;&gt;"",CONCATENATE(C62,"-",COUNTIF($C$4:C62,C62),""),"")</f>
        <v/>
      </c>
      <c r="E62" s="24"/>
      <c r="F62" s="24"/>
      <c r="G62" s="24"/>
      <c r="H62" s="24"/>
      <c r="I62" s="24"/>
      <c r="J62" s="24"/>
      <c r="K62" s="25"/>
    </row>
    <row r="63" spans="1:11" ht="293.25" customHeight="1" x14ac:dyDescent="0.35">
      <c r="A63" s="22"/>
      <c r="B63" s="23"/>
      <c r="C63" s="44" t="str">
        <f t="shared" si="0"/>
        <v/>
      </c>
      <c r="D63" s="45" t="str">
        <f>IF(C63&lt;&gt;"",CONCATENATE(C63,"-",COUNTIF($C$4:C63,C63),""),"")</f>
        <v/>
      </c>
      <c r="E63" s="24"/>
      <c r="F63" s="24"/>
      <c r="G63" s="24"/>
      <c r="H63" s="24"/>
      <c r="I63" s="24"/>
      <c r="J63" s="24"/>
      <c r="K63" s="25"/>
    </row>
    <row r="64" spans="1:11" ht="293.25" customHeight="1" x14ac:dyDescent="0.35">
      <c r="A64" s="22"/>
      <c r="B64" s="23"/>
      <c r="C64" s="44" t="str">
        <f t="shared" si="0"/>
        <v/>
      </c>
      <c r="D64" s="45" t="str">
        <f>IF(C64&lt;&gt;"",CONCATENATE(C64,"-",COUNTIF($C$4:C64,C64),""),"")</f>
        <v/>
      </c>
      <c r="E64" s="24"/>
      <c r="F64" s="24"/>
      <c r="G64" s="24"/>
      <c r="H64" s="24"/>
      <c r="I64" s="24"/>
      <c r="J64" s="24"/>
      <c r="K64" s="25"/>
    </row>
    <row r="65" spans="1:11" ht="293.25" customHeight="1" x14ac:dyDescent="0.35">
      <c r="A65" s="22"/>
      <c r="B65" s="23"/>
      <c r="C65" s="44" t="str">
        <f t="shared" si="0"/>
        <v/>
      </c>
      <c r="D65" s="45" t="str">
        <f>IF(C65&lt;&gt;"",CONCATENATE(C65,"-",COUNTIF($C$4:C65,C65),""),"")</f>
        <v/>
      </c>
      <c r="E65" s="24"/>
      <c r="F65" s="24"/>
      <c r="G65" s="24"/>
      <c r="H65" s="24"/>
      <c r="I65" s="24"/>
      <c r="J65" s="24"/>
      <c r="K65" s="25"/>
    </row>
    <row r="66" spans="1:11" ht="293.25" customHeight="1" x14ac:dyDescent="0.35">
      <c r="A66" s="22"/>
      <c r="B66" s="23"/>
      <c r="C66" s="44" t="str">
        <f t="shared" si="0"/>
        <v/>
      </c>
      <c r="D66" s="45" t="str">
        <f>IF(C66&lt;&gt;"",CONCATENATE(C66,"-",COUNTIF($C$4:C66,C66),""),"")</f>
        <v/>
      </c>
      <c r="E66" s="24"/>
      <c r="F66" s="24"/>
      <c r="G66" s="24"/>
      <c r="H66" s="24"/>
      <c r="I66" s="24"/>
      <c r="J66" s="24"/>
      <c r="K66" s="25"/>
    </row>
    <row r="67" spans="1:11" ht="293.25" customHeight="1" x14ac:dyDescent="0.35">
      <c r="A67" s="22"/>
      <c r="B67" s="23"/>
      <c r="C67" s="44" t="str">
        <f t="shared" si="0"/>
        <v/>
      </c>
      <c r="D67" s="45" t="str">
        <f>IF(C67&lt;&gt;"",CONCATENATE(C67,"-",COUNTIF($C$4:C67,C67),""),"")</f>
        <v/>
      </c>
      <c r="E67" s="24"/>
      <c r="F67" s="24"/>
      <c r="G67" s="24"/>
      <c r="H67" s="24"/>
      <c r="I67" s="24"/>
      <c r="J67" s="24"/>
      <c r="K67" s="25"/>
    </row>
    <row r="68" spans="1:11" ht="293.25" customHeight="1" x14ac:dyDescent="0.35">
      <c r="A68" s="22"/>
      <c r="B68" s="23"/>
      <c r="C68" s="44" t="str">
        <f t="shared" si="0"/>
        <v/>
      </c>
      <c r="D68" s="45" t="str">
        <f>IF(C68&lt;&gt;"",CONCATENATE(C68,"-",COUNTIF($C$4:C68,C68),""),"")</f>
        <v/>
      </c>
      <c r="E68" s="24"/>
      <c r="F68" s="24"/>
      <c r="G68" s="24"/>
      <c r="H68" s="24"/>
      <c r="I68" s="24"/>
      <c r="J68" s="24"/>
      <c r="K68" s="25"/>
    </row>
    <row r="69" spans="1:11" ht="293.25" customHeight="1" x14ac:dyDescent="0.35">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5">
      <c r="A70" s="22"/>
      <c r="B70" s="23"/>
      <c r="C70" s="44" t="str">
        <f t="shared" si="1"/>
        <v/>
      </c>
      <c r="D70" s="45" t="str">
        <f>IF(C70&lt;&gt;"",CONCATENATE(C70,"-",COUNTIF($C$4:C70,C70),""),"")</f>
        <v/>
      </c>
      <c r="E70" s="24"/>
      <c r="F70" s="24"/>
      <c r="G70" s="24"/>
      <c r="H70" s="24"/>
      <c r="I70" s="24"/>
      <c r="J70" s="24"/>
      <c r="K70" s="25"/>
    </row>
    <row r="71" spans="1:11" ht="293.25" customHeight="1" x14ac:dyDescent="0.35">
      <c r="A71" s="22"/>
      <c r="B71" s="23"/>
      <c r="C71" s="44" t="str">
        <f t="shared" si="1"/>
        <v/>
      </c>
      <c r="D71" s="45" t="str">
        <f>IF(C71&lt;&gt;"",CONCATENATE(C71,"-",COUNTIF($C$4:C71,C71),""),"")</f>
        <v/>
      </c>
      <c r="E71" s="24"/>
      <c r="F71" s="24"/>
      <c r="G71" s="24"/>
      <c r="H71" s="24"/>
      <c r="I71" s="24"/>
      <c r="J71" s="24"/>
      <c r="K71" s="25"/>
    </row>
    <row r="72" spans="1:11" ht="293.25" customHeight="1" x14ac:dyDescent="0.35">
      <c r="A72" s="22"/>
      <c r="B72" s="23"/>
      <c r="C72" s="44" t="str">
        <f t="shared" si="1"/>
        <v/>
      </c>
      <c r="D72" s="45" t="str">
        <f>IF(C72&lt;&gt;"",CONCATENATE(C72,"-",COUNTIF($C$4:C72,C72),""),"")</f>
        <v/>
      </c>
      <c r="E72" s="24"/>
      <c r="F72" s="24"/>
      <c r="G72" s="24"/>
      <c r="H72" s="24"/>
      <c r="I72" s="24"/>
      <c r="J72" s="24"/>
      <c r="K72" s="25"/>
    </row>
    <row r="73" spans="1:11" ht="293.25" customHeight="1" x14ac:dyDescent="0.35">
      <c r="A73" s="22"/>
      <c r="B73" s="23"/>
      <c r="C73" s="44" t="str">
        <f t="shared" si="1"/>
        <v/>
      </c>
      <c r="D73" s="45" t="str">
        <f>IF(C73&lt;&gt;"",CONCATENATE(C73,"-",COUNTIF($C$4:C73,C73),""),"")</f>
        <v/>
      </c>
      <c r="E73" s="24"/>
      <c r="F73" s="24"/>
      <c r="G73" s="24"/>
      <c r="H73" s="24"/>
      <c r="I73" s="24"/>
      <c r="J73" s="24"/>
      <c r="K73" s="25"/>
    </row>
    <row r="74" spans="1:11" ht="293.25" customHeight="1" x14ac:dyDescent="0.35">
      <c r="A74" s="22"/>
      <c r="B74" s="23"/>
      <c r="C74" s="44" t="str">
        <f t="shared" si="1"/>
        <v/>
      </c>
      <c r="D74" s="45" t="str">
        <f>IF(C74&lt;&gt;"",CONCATENATE(C74,"-",COUNTIF($C$4:C74,C74),""),"")</f>
        <v/>
      </c>
      <c r="E74" s="24"/>
      <c r="F74" s="24"/>
      <c r="G74" s="24"/>
      <c r="H74" s="24"/>
      <c r="I74" s="24"/>
      <c r="J74" s="24"/>
      <c r="K74" s="25"/>
    </row>
    <row r="75" spans="1:11" ht="293.25" customHeight="1" x14ac:dyDescent="0.35">
      <c r="A75" s="22"/>
      <c r="B75" s="23"/>
      <c r="C75" s="44" t="str">
        <f t="shared" si="1"/>
        <v/>
      </c>
      <c r="D75" s="45" t="str">
        <f>IF(C75&lt;&gt;"",CONCATENATE(C75,"-",COUNTIF($C$4:C75,C75),""),"")</f>
        <v/>
      </c>
      <c r="E75" s="24"/>
      <c r="F75" s="24"/>
      <c r="G75" s="24"/>
      <c r="H75" s="24"/>
      <c r="I75" s="24"/>
      <c r="J75" s="24"/>
      <c r="K75" s="25"/>
    </row>
    <row r="76" spans="1:11" ht="293.25" customHeight="1" x14ac:dyDescent="0.35">
      <c r="A76" s="22"/>
      <c r="B76" s="23"/>
      <c r="C76" s="44" t="str">
        <f t="shared" si="1"/>
        <v/>
      </c>
      <c r="D76" s="45" t="str">
        <f>IF(C76&lt;&gt;"",CONCATENATE(C76,"-",COUNTIF($C$4:C76,C76),""),"")</f>
        <v/>
      </c>
      <c r="E76" s="24"/>
      <c r="F76" s="24"/>
      <c r="G76" s="24"/>
      <c r="H76" s="24"/>
      <c r="I76" s="24"/>
      <c r="J76" s="24"/>
      <c r="K76" s="25"/>
    </row>
    <row r="77" spans="1:11" ht="293.25" customHeight="1" x14ac:dyDescent="0.35">
      <c r="A77" s="22"/>
      <c r="B77" s="23"/>
      <c r="C77" s="44" t="str">
        <f t="shared" si="1"/>
        <v/>
      </c>
      <c r="D77" s="45" t="str">
        <f>IF(C77&lt;&gt;"",CONCATENATE(C77,"-",COUNTIF($C$4:C77,C77),""),"")</f>
        <v/>
      </c>
      <c r="E77" s="24"/>
      <c r="F77" s="24"/>
      <c r="G77" s="24"/>
      <c r="H77" s="24"/>
      <c r="I77" s="24"/>
      <c r="J77" s="24"/>
      <c r="K77" s="25"/>
    </row>
    <row r="78" spans="1:11" ht="293.25" customHeight="1" x14ac:dyDescent="0.35">
      <c r="A78" s="22"/>
      <c r="B78" s="23"/>
      <c r="C78" s="44" t="str">
        <f t="shared" si="1"/>
        <v/>
      </c>
      <c r="D78" s="45" t="str">
        <f>IF(C78&lt;&gt;"",CONCATENATE(C78,"-",COUNTIF($C$4:C78,C78),""),"")</f>
        <v/>
      </c>
      <c r="E78" s="24"/>
      <c r="F78" s="24"/>
      <c r="G78" s="24"/>
      <c r="H78" s="24"/>
      <c r="I78" s="24"/>
      <c r="J78" s="24"/>
      <c r="K78" s="25"/>
    </row>
    <row r="79" spans="1:11" ht="293.25" customHeight="1" x14ac:dyDescent="0.35">
      <c r="A79" s="22"/>
      <c r="B79" s="23"/>
      <c r="C79" s="44" t="str">
        <f t="shared" si="1"/>
        <v/>
      </c>
      <c r="D79" s="45" t="str">
        <f>IF(C79&lt;&gt;"",CONCATENATE(C79,"-",COUNTIF($C$4:C79,C79),""),"")</f>
        <v/>
      </c>
      <c r="E79" s="24"/>
      <c r="F79" s="24"/>
      <c r="G79" s="24"/>
      <c r="H79" s="24"/>
      <c r="I79" s="24"/>
      <c r="J79" s="24"/>
      <c r="K79" s="25"/>
    </row>
    <row r="80" spans="1:11" ht="293.25" customHeight="1" x14ac:dyDescent="0.35">
      <c r="A80" s="22"/>
      <c r="B80" s="23"/>
      <c r="C80" s="44" t="str">
        <f t="shared" si="1"/>
        <v/>
      </c>
      <c r="D80" s="45" t="str">
        <f>IF(C80&lt;&gt;"",CONCATENATE(C80,"-",COUNTIF($C$4:C80,C80),""),"")</f>
        <v/>
      </c>
      <c r="E80" s="24"/>
      <c r="F80" s="24"/>
      <c r="G80" s="24"/>
      <c r="H80" s="24"/>
      <c r="I80" s="24"/>
      <c r="J80" s="24"/>
      <c r="K80" s="25"/>
    </row>
    <row r="81" spans="1:11" ht="293.25" customHeight="1" x14ac:dyDescent="0.35">
      <c r="A81" s="22"/>
      <c r="B81" s="23"/>
      <c r="C81" s="44" t="str">
        <f t="shared" si="1"/>
        <v/>
      </c>
      <c r="D81" s="45" t="str">
        <f>IF(C81&lt;&gt;"",CONCATENATE(C81,"-",COUNTIF($C$4:C81,C81),""),"")</f>
        <v/>
      </c>
      <c r="E81" s="24"/>
      <c r="F81" s="24"/>
      <c r="G81" s="24"/>
      <c r="H81" s="24"/>
      <c r="I81" s="24"/>
      <c r="J81" s="24"/>
      <c r="K81" s="25"/>
    </row>
    <row r="82" spans="1:11" ht="293.25" customHeight="1" x14ac:dyDescent="0.35">
      <c r="A82" s="22"/>
      <c r="B82" s="23"/>
      <c r="C82" s="44" t="str">
        <f t="shared" si="1"/>
        <v/>
      </c>
      <c r="D82" s="45" t="str">
        <f>IF(C82&lt;&gt;"",CONCATENATE(C82,"-",COUNTIF($C$4:C82,C82),""),"")</f>
        <v/>
      </c>
      <c r="E82" s="24"/>
      <c r="F82" s="24"/>
      <c r="G82" s="24"/>
      <c r="H82" s="24"/>
      <c r="I82" s="24"/>
      <c r="J82" s="24"/>
      <c r="K82" s="25"/>
    </row>
    <row r="83" spans="1:11" ht="293.25" customHeight="1" x14ac:dyDescent="0.35">
      <c r="A83" s="22"/>
      <c r="B83" s="23"/>
      <c r="C83" s="44" t="str">
        <f t="shared" si="1"/>
        <v/>
      </c>
      <c r="D83" s="45" t="str">
        <f>IF(C83&lt;&gt;"",CONCATENATE(C83,"-",COUNTIF($C$4:C83,C83),""),"")</f>
        <v/>
      </c>
      <c r="E83" s="24"/>
      <c r="F83" s="24"/>
      <c r="G83" s="24"/>
      <c r="H83" s="24"/>
      <c r="I83" s="24"/>
      <c r="J83" s="24"/>
      <c r="K83" s="25"/>
    </row>
    <row r="84" spans="1:11" ht="293.25" customHeight="1" x14ac:dyDescent="0.35">
      <c r="A84" s="22"/>
      <c r="B84" s="23"/>
      <c r="C84" s="44" t="str">
        <f t="shared" si="1"/>
        <v/>
      </c>
      <c r="D84" s="45" t="str">
        <f>IF(C84&lt;&gt;"",CONCATENATE(C84,"-",COUNTIF($C$4:C84,C84),""),"")</f>
        <v/>
      </c>
      <c r="E84" s="24"/>
      <c r="F84" s="24"/>
      <c r="G84" s="24"/>
      <c r="H84" s="24"/>
      <c r="I84" s="24"/>
      <c r="J84" s="24"/>
      <c r="K84" s="25"/>
    </row>
    <row r="85" spans="1:11" ht="293.25" customHeight="1" x14ac:dyDescent="0.35">
      <c r="A85" s="22"/>
      <c r="B85" s="23"/>
      <c r="C85" s="44" t="str">
        <f t="shared" si="1"/>
        <v/>
      </c>
      <c r="D85" s="45" t="str">
        <f>IF(C85&lt;&gt;"",CONCATENATE(C85,"-",COUNTIF($C$4:C85,C85),""),"")</f>
        <v/>
      </c>
      <c r="E85" s="24"/>
      <c r="F85" s="24"/>
      <c r="G85" s="24"/>
      <c r="H85" s="24"/>
      <c r="I85" s="24"/>
      <c r="J85" s="24"/>
      <c r="K85" s="25"/>
    </row>
    <row r="86" spans="1:11" ht="293.25" customHeight="1" x14ac:dyDescent="0.35">
      <c r="A86" s="22"/>
      <c r="B86" s="23"/>
      <c r="C86" s="44" t="str">
        <f t="shared" si="1"/>
        <v/>
      </c>
      <c r="D86" s="45" t="str">
        <f>IF(C86&lt;&gt;"",CONCATENATE(C86,"-",COUNTIF($C$4:C86,C86),""),"")</f>
        <v/>
      </c>
      <c r="E86" s="24"/>
      <c r="F86" s="24"/>
      <c r="G86" s="24"/>
      <c r="H86" s="24"/>
      <c r="I86" s="24"/>
      <c r="J86" s="24"/>
      <c r="K86" s="25"/>
    </row>
    <row r="87" spans="1:11" ht="293.25" customHeight="1" x14ac:dyDescent="0.35">
      <c r="A87" s="22"/>
      <c r="B87" s="23"/>
      <c r="C87" s="44" t="str">
        <f t="shared" si="1"/>
        <v/>
      </c>
      <c r="D87" s="45" t="str">
        <f>IF(C87&lt;&gt;"",CONCATENATE(C87,"-",COUNTIF($C$4:C87,C87),""),"")</f>
        <v/>
      </c>
      <c r="E87" s="24"/>
      <c r="F87" s="24"/>
      <c r="G87" s="24"/>
      <c r="H87" s="24"/>
      <c r="I87" s="24"/>
      <c r="J87" s="24"/>
      <c r="K87" s="25"/>
    </row>
    <row r="88" spans="1:11" ht="293.25" customHeight="1" x14ac:dyDescent="0.35">
      <c r="A88" s="22"/>
      <c r="B88" s="23"/>
      <c r="C88" s="44" t="str">
        <f t="shared" si="1"/>
        <v/>
      </c>
      <c r="D88" s="45" t="str">
        <f>IF(C88&lt;&gt;"",CONCATENATE(C88,"-",COUNTIF($C$4:C88,C88),""),"")</f>
        <v/>
      </c>
      <c r="E88" s="24"/>
      <c r="F88" s="24"/>
      <c r="G88" s="24"/>
      <c r="H88" s="24"/>
      <c r="I88" s="24"/>
      <c r="J88" s="24"/>
      <c r="K88" s="25"/>
    </row>
    <row r="89" spans="1:11" ht="293.25" customHeight="1" x14ac:dyDescent="0.35">
      <c r="A89" s="22"/>
      <c r="B89" s="23"/>
      <c r="C89" s="44" t="str">
        <f t="shared" si="1"/>
        <v/>
      </c>
      <c r="D89" s="45" t="str">
        <f>IF(C89&lt;&gt;"",CONCATENATE(C89,"-",COUNTIF($C$4:C89,C89),""),"")</f>
        <v/>
      </c>
      <c r="E89" s="24"/>
      <c r="F89" s="24"/>
      <c r="G89" s="24"/>
      <c r="H89" s="24"/>
      <c r="I89" s="24"/>
      <c r="J89" s="24"/>
      <c r="K89" s="25"/>
    </row>
    <row r="90" spans="1:11" ht="293.25" customHeight="1" x14ac:dyDescent="0.35">
      <c r="A90" s="22"/>
      <c r="B90" s="23"/>
      <c r="C90" s="44" t="str">
        <f t="shared" si="1"/>
        <v/>
      </c>
      <c r="D90" s="45" t="str">
        <f>IF(C90&lt;&gt;"",CONCATENATE(C90,"-",COUNTIF($C$4:C90,C90),""),"")</f>
        <v/>
      </c>
      <c r="E90" s="24"/>
      <c r="F90" s="24"/>
      <c r="G90" s="24"/>
      <c r="H90" s="24"/>
      <c r="I90" s="24"/>
      <c r="J90" s="24"/>
      <c r="K90" s="25"/>
    </row>
    <row r="91" spans="1:11" ht="293.25" customHeight="1" x14ac:dyDescent="0.35">
      <c r="A91" s="22"/>
      <c r="B91" s="23"/>
      <c r="C91" s="44" t="str">
        <f t="shared" si="1"/>
        <v/>
      </c>
      <c r="D91" s="45" t="str">
        <f>IF(C91&lt;&gt;"",CONCATENATE(C91,"-",COUNTIF($C$4:C91,C91),""),"")</f>
        <v/>
      </c>
      <c r="E91" s="24"/>
      <c r="F91" s="24"/>
      <c r="G91" s="24"/>
      <c r="H91" s="24"/>
      <c r="I91" s="24"/>
      <c r="J91" s="24"/>
      <c r="K91" s="25"/>
    </row>
    <row r="92" spans="1:11" ht="293.25" customHeight="1" x14ac:dyDescent="0.35">
      <c r="A92" s="22"/>
      <c r="B92" s="23"/>
      <c r="C92" s="44" t="str">
        <f t="shared" si="1"/>
        <v/>
      </c>
      <c r="D92" s="45" t="str">
        <f>IF(C92&lt;&gt;"",CONCATENATE(C92,"-",COUNTIF($C$4:C92,C92),""),"")</f>
        <v/>
      </c>
      <c r="E92" s="24"/>
      <c r="F92" s="24"/>
      <c r="G92" s="24"/>
      <c r="H92" s="24"/>
      <c r="I92" s="24"/>
      <c r="J92" s="24"/>
      <c r="K92" s="25"/>
    </row>
    <row r="93" spans="1:11" ht="293.25" customHeight="1" x14ac:dyDescent="0.35">
      <c r="A93" s="22"/>
      <c r="B93" s="23"/>
      <c r="C93" s="44" t="str">
        <f t="shared" si="1"/>
        <v/>
      </c>
      <c r="D93" s="45" t="str">
        <f>IF(C93&lt;&gt;"",CONCATENATE(C93,"-",COUNTIF($C$4:C93,C93),""),"")</f>
        <v/>
      </c>
      <c r="E93" s="24"/>
      <c r="F93" s="24"/>
      <c r="G93" s="24"/>
      <c r="H93" s="24"/>
      <c r="I93" s="24"/>
      <c r="J93" s="24"/>
      <c r="K93" s="25"/>
    </row>
    <row r="94" spans="1:11" ht="293.25" customHeight="1" x14ac:dyDescent="0.35">
      <c r="A94" s="22"/>
      <c r="B94" s="23"/>
      <c r="C94" s="44" t="str">
        <f t="shared" si="1"/>
        <v/>
      </c>
      <c r="D94" s="45" t="str">
        <f>IF(C94&lt;&gt;"",CONCATENATE(C94,"-",COUNTIF($C$4:C94,C94),""),"")</f>
        <v/>
      </c>
      <c r="E94" s="24"/>
      <c r="F94" s="24"/>
      <c r="G94" s="24"/>
      <c r="H94" s="24"/>
      <c r="I94" s="24"/>
      <c r="J94" s="24"/>
      <c r="K94" s="25"/>
    </row>
    <row r="95" spans="1:11" ht="293.25" customHeight="1" x14ac:dyDescent="0.35">
      <c r="A95" s="22"/>
      <c r="B95" s="23"/>
      <c r="C95" s="44" t="str">
        <f t="shared" si="1"/>
        <v/>
      </c>
      <c r="D95" s="45" t="str">
        <f>IF(C95&lt;&gt;"",CONCATENATE(C95,"-",COUNTIF($C$4:C95,C95),""),"")</f>
        <v/>
      </c>
      <c r="E95" s="24"/>
      <c r="F95" s="24"/>
      <c r="G95" s="24"/>
      <c r="H95" s="24"/>
      <c r="I95" s="24"/>
      <c r="J95" s="24"/>
      <c r="K95" s="25"/>
    </row>
    <row r="96" spans="1:11" ht="293.25" customHeight="1" x14ac:dyDescent="0.35">
      <c r="A96" s="22"/>
      <c r="B96" s="23"/>
      <c r="C96" s="44" t="str">
        <f t="shared" si="1"/>
        <v/>
      </c>
      <c r="D96" s="45" t="str">
        <f>IF(C96&lt;&gt;"",CONCATENATE(C96,"-",COUNTIF($C$4:C96,C96),""),"")</f>
        <v/>
      </c>
      <c r="E96" s="24"/>
      <c r="F96" s="24"/>
      <c r="G96" s="24"/>
      <c r="H96" s="24"/>
      <c r="I96" s="24"/>
      <c r="J96" s="24"/>
      <c r="K96" s="25"/>
    </row>
    <row r="97" spans="1:11" ht="293.25" customHeight="1" x14ac:dyDescent="0.35">
      <c r="A97" s="22"/>
      <c r="B97" s="23"/>
      <c r="C97" s="44" t="str">
        <f t="shared" si="1"/>
        <v/>
      </c>
      <c r="D97" s="45" t="str">
        <f>IF(C97&lt;&gt;"",CONCATENATE(C97,"-",COUNTIF($C$4:C97,C97),""),"")</f>
        <v/>
      </c>
      <c r="E97" s="24"/>
      <c r="F97" s="24"/>
      <c r="G97" s="24"/>
      <c r="H97" s="24"/>
      <c r="I97" s="24"/>
      <c r="J97" s="24"/>
      <c r="K97" s="25"/>
    </row>
    <row r="98" spans="1:11" ht="293.25" customHeight="1" x14ac:dyDescent="0.35">
      <c r="A98" s="22"/>
      <c r="B98" s="23"/>
      <c r="C98" s="44" t="str">
        <f t="shared" si="1"/>
        <v/>
      </c>
      <c r="D98" s="45" t="str">
        <f>IF(C98&lt;&gt;"",CONCATENATE(C98,"-",COUNTIF($C$4:C98,C98),""),"")</f>
        <v/>
      </c>
      <c r="E98" s="24"/>
      <c r="F98" s="24"/>
      <c r="G98" s="24"/>
      <c r="H98" s="24"/>
      <c r="I98" s="24"/>
      <c r="J98" s="24"/>
      <c r="K98" s="25"/>
    </row>
    <row r="99" spans="1:11" ht="293.25" customHeight="1" x14ac:dyDescent="0.35">
      <c r="A99" s="22"/>
      <c r="B99" s="23"/>
      <c r="C99" s="44" t="str">
        <f t="shared" si="1"/>
        <v/>
      </c>
      <c r="D99" s="45" t="str">
        <f>IF(C99&lt;&gt;"",CONCATENATE(C99,"-",COUNTIF($C$4:C99,C99),""),"")</f>
        <v/>
      </c>
      <c r="E99" s="24"/>
      <c r="F99" s="24"/>
      <c r="G99" s="24"/>
      <c r="H99" s="24"/>
      <c r="I99" s="24"/>
      <c r="J99" s="24"/>
      <c r="K99" s="25"/>
    </row>
    <row r="100" spans="1:11" ht="293.25" customHeight="1" x14ac:dyDescent="0.35">
      <c r="A100" s="22"/>
      <c r="B100" s="23"/>
      <c r="C100" s="44" t="str">
        <f t="shared" si="1"/>
        <v/>
      </c>
      <c r="D100" s="45" t="str">
        <f>IF(C100&lt;&gt;"",CONCATENATE(C100,"-",COUNTIF($C$4:C100,C100),""),"")</f>
        <v/>
      </c>
      <c r="E100" s="24"/>
      <c r="F100" s="24"/>
      <c r="G100" s="24"/>
      <c r="H100" s="24"/>
      <c r="I100" s="24"/>
      <c r="J100" s="24"/>
      <c r="K100" s="25"/>
    </row>
    <row r="101" spans="1:11" ht="293.25" customHeight="1" x14ac:dyDescent="0.35">
      <c r="A101" s="22"/>
      <c r="B101" s="23"/>
      <c r="C101" s="44" t="str">
        <f t="shared" si="1"/>
        <v/>
      </c>
      <c r="D101" s="45" t="str">
        <f>IF(C101&lt;&gt;"",CONCATENATE(C101,"-",COUNTIF($C$4:C101,C101),""),"")</f>
        <v/>
      </c>
      <c r="E101" s="24"/>
      <c r="F101" s="24"/>
      <c r="G101" s="24"/>
      <c r="H101" s="24"/>
      <c r="I101" s="24"/>
      <c r="J101" s="24"/>
      <c r="K101" s="25"/>
    </row>
    <row r="102" spans="1:11" ht="293.25" customHeight="1" x14ac:dyDescent="0.35">
      <c r="A102" s="22"/>
      <c r="B102" s="23"/>
      <c r="C102" s="44" t="str">
        <f t="shared" si="1"/>
        <v/>
      </c>
      <c r="D102" s="45" t="str">
        <f>IF(C102&lt;&gt;"",CONCATENATE(C102,"-",COUNTIF($C$4:C102,C102),""),"")</f>
        <v/>
      </c>
      <c r="E102" s="24"/>
      <c r="F102" s="24"/>
      <c r="G102" s="24"/>
      <c r="H102" s="24"/>
      <c r="I102" s="24"/>
      <c r="J102" s="24"/>
      <c r="K102" s="25"/>
    </row>
    <row r="103" spans="1:11" ht="293.25" customHeight="1" x14ac:dyDescent="0.35">
      <c r="A103" s="22"/>
      <c r="B103" s="23"/>
      <c r="C103" s="44" t="str">
        <f t="shared" si="1"/>
        <v/>
      </c>
      <c r="D103" s="45" t="str">
        <f>IF(C103&lt;&gt;"",CONCATENATE(C103,"-",COUNTIF($C$4:C103,C103),""),"")</f>
        <v/>
      </c>
      <c r="E103" s="24"/>
      <c r="F103" s="24"/>
      <c r="G103" s="24"/>
      <c r="H103" s="24"/>
      <c r="I103" s="24"/>
      <c r="J103" s="24"/>
      <c r="K103" s="25"/>
    </row>
    <row r="104" spans="1:11" ht="293.25" customHeight="1" x14ac:dyDescent="0.35">
      <c r="A104" s="22"/>
      <c r="B104" s="23"/>
      <c r="C104" s="44" t="str">
        <f t="shared" si="1"/>
        <v/>
      </c>
      <c r="D104" s="45" t="str">
        <f>IF(C104&lt;&gt;"",CONCATENATE(C104,"-",COUNTIF($C$4:C104,C104),""),"")</f>
        <v/>
      </c>
      <c r="E104" s="24"/>
      <c r="F104" s="24"/>
      <c r="G104" s="24"/>
      <c r="H104" s="24"/>
      <c r="I104" s="24"/>
      <c r="J104" s="24"/>
      <c r="K104" s="25"/>
    </row>
    <row r="105" spans="1:11" ht="293.25" customHeight="1" x14ac:dyDescent="0.35">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5">
      <c r="A106" s="22"/>
      <c r="B106" s="23"/>
      <c r="C106" s="44" t="str">
        <f t="shared" si="2"/>
        <v/>
      </c>
      <c r="D106" s="45" t="str">
        <f>IF(C106&lt;&gt;"",CONCATENATE(C106,"-",COUNTIF($C$4:C106,C106),""),"")</f>
        <v/>
      </c>
      <c r="E106" s="24"/>
      <c r="F106" s="24"/>
      <c r="G106" s="24"/>
      <c r="H106" s="24"/>
      <c r="I106" s="24"/>
      <c r="J106" s="24"/>
      <c r="K106" s="25"/>
    </row>
    <row r="107" spans="1:11" ht="293.25" customHeight="1" x14ac:dyDescent="0.35">
      <c r="A107" s="22"/>
      <c r="B107" s="23"/>
      <c r="C107" s="44" t="str">
        <f t="shared" si="2"/>
        <v/>
      </c>
      <c r="D107" s="45" t="str">
        <f>IF(C107&lt;&gt;"",CONCATENATE(C107,"-",COUNTIF($C$4:C107,C107),""),"")</f>
        <v/>
      </c>
      <c r="E107" s="24"/>
      <c r="F107" s="24"/>
      <c r="G107" s="24"/>
      <c r="H107" s="24"/>
      <c r="I107" s="24"/>
      <c r="J107" s="24"/>
      <c r="K107" s="25"/>
    </row>
    <row r="108" spans="1:11" ht="293.25" customHeight="1" x14ac:dyDescent="0.35">
      <c r="A108" s="22"/>
      <c r="B108" s="23"/>
      <c r="C108" s="44" t="str">
        <f t="shared" si="2"/>
        <v/>
      </c>
      <c r="D108" s="45" t="str">
        <f>IF(C108&lt;&gt;"",CONCATENATE(C108,"-",COUNTIF($C$4:C108,C108),""),"")</f>
        <v/>
      </c>
      <c r="E108" s="24"/>
      <c r="F108" s="24"/>
      <c r="G108" s="24"/>
      <c r="H108" s="24"/>
      <c r="I108" s="24"/>
      <c r="J108" s="24"/>
      <c r="K108" s="25"/>
    </row>
    <row r="109" spans="1:11" ht="293.25" customHeight="1" x14ac:dyDescent="0.35">
      <c r="A109" s="22"/>
      <c r="B109" s="23"/>
      <c r="C109" s="44" t="str">
        <f t="shared" si="2"/>
        <v/>
      </c>
      <c r="D109" s="45" t="str">
        <f>IF(C109&lt;&gt;"",CONCATENATE(C109,"-",COUNTIF($C$4:C109,C109),""),"")</f>
        <v/>
      </c>
      <c r="E109" s="24"/>
      <c r="F109" s="24"/>
      <c r="G109" s="24"/>
      <c r="H109" s="24"/>
      <c r="I109" s="24"/>
      <c r="J109" s="24"/>
      <c r="K109" s="25"/>
    </row>
    <row r="110" spans="1:11" ht="293.25" customHeight="1" x14ac:dyDescent="0.35">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5">
      <c r="A111" s="22"/>
      <c r="B111" s="23"/>
      <c r="C111" s="44" t="str">
        <f t="shared" si="3"/>
        <v/>
      </c>
      <c r="D111" s="45" t="str">
        <f>IF(C111&lt;&gt;"",CONCATENATE(C111,"-",COUNTIF($C$4:C111,C111),""),"")</f>
        <v/>
      </c>
      <c r="E111" s="24"/>
      <c r="F111" s="24"/>
      <c r="G111" s="24"/>
      <c r="H111" s="24"/>
      <c r="I111" s="24"/>
      <c r="J111" s="24"/>
      <c r="K111" s="25"/>
    </row>
    <row r="112" spans="1:11" ht="293.25" customHeight="1" x14ac:dyDescent="0.35">
      <c r="A112" s="22"/>
      <c r="B112" s="23"/>
      <c r="C112" s="44" t="str">
        <f t="shared" si="3"/>
        <v/>
      </c>
      <c r="D112" s="45" t="str">
        <f>IF(C112&lt;&gt;"",CONCATENATE(C112,"-",COUNTIF($C$4:C112,C112),""),"")</f>
        <v/>
      </c>
      <c r="E112" s="24"/>
      <c r="F112" s="24"/>
      <c r="G112" s="24"/>
      <c r="H112" s="24"/>
      <c r="I112" s="24"/>
      <c r="J112" s="24"/>
      <c r="K112" s="25"/>
    </row>
    <row r="113" spans="1:11" ht="293.25" customHeight="1" x14ac:dyDescent="0.35">
      <c r="A113" s="22"/>
      <c r="B113" s="23"/>
      <c r="C113" s="44" t="str">
        <f t="shared" si="3"/>
        <v/>
      </c>
      <c r="D113" s="45" t="str">
        <f>IF(C113&lt;&gt;"",CONCATENATE(C113,"-",COUNTIF($C$4:C113,C113),""),"")</f>
        <v/>
      </c>
      <c r="E113" s="24"/>
      <c r="F113" s="24"/>
      <c r="G113" s="24"/>
      <c r="H113" s="24"/>
      <c r="I113" s="24"/>
      <c r="J113" s="24"/>
      <c r="K113" s="25"/>
    </row>
    <row r="114" spans="1:11" ht="293.25" customHeight="1" x14ac:dyDescent="0.35">
      <c r="A114" s="22"/>
      <c r="B114" s="23"/>
      <c r="C114" s="44" t="str">
        <f t="shared" si="3"/>
        <v/>
      </c>
      <c r="D114" s="45" t="str">
        <f>IF(C114&lt;&gt;"",CONCATENATE(C114,"-",COUNTIF($C$4:C114,C114),""),"")</f>
        <v/>
      </c>
      <c r="E114" s="24"/>
      <c r="F114" s="24"/>
      <c r="G114" s="24"/>
      <c r="H114" s="24"/>
      <c r="I114" s="24"/>
      <c r="J114" s="24"/>
      <c r="K114" s="25"/>
    </row>
    <row r="115" spans="1:11" ht="293.25" customHeight="1" x14ac:dyDescent="0.35">
      <c r="A115" s="22"/>
      <c r="B115" s="23"/>
      <c r="C115" s="44" t="str">
        <f t="shared" si="3"/>
        <v/>
      </c>
      <c r="D115" s="45" t="str">
        <f>IF(C115&lt;&gt;"",CONCATENATE(C115,"-",COUNTIF($C$4:C115,C115),""),"")</f>
        <v/>
      </c>
      <c r="E115" s="24"/>
      <c r="F115" s="24"/>
      <c r="G115" s="24"/>
      <c r="H115" s="24"/>
      <c r="I115" s="24"/>
      <c r="J115" s="24"/>
      <c r="K115" s="25"/>
    </row>
    <row r="116" spans="1:11" ht="293.25" customHeight="1" x14ac:dyDescent="0.35">
      <c r="A116" s="22"/>
      <c r="B116" s="23"/>
      <c r="C116" s="44" t="str">
        <f t="shared" si="3"/>
        <v/>
      </c>
      <c r="D116" s="45" t="str">
        <f>IF(C116&lt;&gt;"",CONCATENATE(C116,"-",COUNTIF($C$4:C116,C116),""),"")</f>
        <v/>
      </c>
      <c r="E116" s="24"/>
      <c r="F116" s="24"/>
      <c r="G116" s="24"/>
      <c r="H116" s="24"/>
      <c r="I116" s="24"/>
      <c r="J116" s="24"/>
      <c r="K116" s="25"/>
    </row>
    <row r="117" spans="1:11" ht="293.25" customHeight="1" x14ac:dyDescent="0.35">
      <c r="A117" s="22"/>
      <c r="B117" s="23"/>
      <c r="C117" s="44" t="str">
        <f t="shared" si="3"/>
        <v/>
      </c>
      <c r="D117" s="45" t="str">
        <f>IF(C117&lt;&gt;"",CONCATENATE(C117,"-",COUNTIF($C$4:C117,C117),""),"")</f>
        <v/>
      </c>
      <c r="E117" s="24"/>
      <c r="F117" s="24"/>
      <c r="G117" s="24"/>
      <c r="H117" s="24"/>
      <c r="I117" s="24"/>
      <c r="J117" s="24"/>
      <c r="K117" s="25"/>
    </row>
    <row r="118" spans="1:11" ht="293.25" customHeight="1" x14ac:dyDescent="0.35">
      <c r="A118" s="22"/>
      <c r="B118" s="23"/>
      <c r="C118" s="44" t="str">
        <f t="shared" si="3"/>
        <v/>
      </c>
      <c r="D118" s="45" t="str">
        <f>IF(C118&lt;&gt;"",CONCATENATE(C118,"-",COUNTIF($C$4:C118,C118),""),"")</f>
        <v/>
      </c>
      <c r="E118" s="24"/>
      <c r="F118" s="24"/>
      <c r="G118" s="24"/>
      <c r="H118" s="24"/>
      <c r="I118" s="24"/>
      <c r="J118" s="24"/>
      <c r="K118" s="25"/>
    </row>
    <row r="119" spans="1:11" ht="293.25" customHeight="1" x14ac:dyDescent="0.35">
      <c r="A119" s="22"/>
      <c r="B119" s="23"/>
      <c r="C119" s="44" t="str">
        <f t="shared" si="3"/>
        <v/>
      </c>
      <c r="D119" s="45" t="str">
        <f>IF(C119&lt;&gt;"",CONCATENATE(C119,"-",COUNTIF($C$4:C119,C119),""),"")</f>
        <v/>
      </c>
      <c r="E119" s="24"/>
      <c r="F119" s="24"/>
      <c r="G119" s="24"/>
      <c r="H119" s="24"/>
      <c r="I119" s="24"/>
      <c r="J119" s="24"/>
      <c r="K119" s="25"/>
    </row>
    <row r="120" spans="1:11" ht="293.25" customHeight="1" x14ac:dyDescent="0.35">
      <c r="A120" s="22"/>
      <c r="B120" s="23"/>
      <c r="C120" s="44" t="str">
        <f t="shared" si="3"/>
        <v/>
      </c>
      <c r="D120" s="45" t="str">
        <f>IF(C120&lt;&gt;"",CONCATENATE(C120,"-",COUNTIF($C$4:C120,C120),""),"")</f>
        <v/>
      </c>
      <c r="E120" s="24"/>
      <c r="F120" s="24"/>
      <c r="G120" s="24"/>
      <c r="H120" s="24"/>
      <c r="I120" s="24"/>
      <c r="J120" s="24"/>
      <c r="K120" s="25"/>
    </row>
    <row r="121" spans="1:11" ht="293.25" customHeight="1" x14ac:dyDescent="0.35">
      <c r="A121" s="22"/>
      <c r="B121" s="23"/>
      <c r="C121" s="44" t="str">
        <f t="shared" si="3"/>
        <v/>
      </c>
      <c r="D121" s="45" t="str">
        <f>IF(C121&lt;&gt;"",CONCATENATE(C121,"-",COUNTIF($C$4:C121,C121),""),"")</f>
        <v/>
      </c>
      <c r="E121" s="24"/>
      <c r="F121" s="24"/>
      <c r="G121" s="24"/>
      <c r="H121" s="24"/>
      <c r="I121" s="24"/>
      <c r="J121" s="24"/>
      <c r="K121" s="25"/>
    </row>
    <row r="122" spans="1:11" ht="293.25" customHeight="1" x14ac:dyDescent="0.35">
      <c r="A122" s="22"/>
      <c r="B122" s="23"/>
      <c r="C122" s="44" t="str">
        <f t="shared" si="3"/>
        <v/>
      </c>
      <c r="D122" s="45" t="str">
        <f>IF(C122&lt;&gt;"",CONCATENATE(C122,"-",COUNTIF($C$4:C122,C122),""),"")</f>
        <v/>
      </c>
      <c r="E122" s="24"/>
      <c r="F122" s="24"/>
      <c r="G122" s="24"/>
      <c r="H122" s="24"/>
      <c r="I122" s="24"/>
      <c r="J122" s="24"/>
      <c r="K122" s="25"/>
    </row>
    <row r="123" spans="1:11" ht="293.25" customHeight="1" x14ac:dyDescent="0.35">
      <c r="A123" s="22"/>
      <c r="B123" s="23"/>
      <c r="C123" s="44" t="str">
        <f t="shared" si="3"/>
        <v/>
      </c>
      <c r="D123" s="45" t="str">
        <f>IF(C123&lt;&gt;"",CONCATENATE(C123,"-",COUNTIF($C$4:C123,C123),""),"")</f>
        <v/>
      </c>
      <c r="E123" s="24"/>
      <c r="F123" s="24"/>
      <c r="G123" s="24"/>
      <c r="H123" s="24"/>
      <c r="I123" s="24"/>
      <c r="J123" s="24"/>
      <c r="K123" s="25"/>
    </row>
    <row r="124" spans="1:11" ht="293.25" customHeight="1" x14ac:dyDescent="0.35">
      <c r="A124" s="22"/>
      <c r="B124" s="23"/>
      <c r="C124" s="44" t="str">
        <f t="shared" si="3"/>
        <v/>
      </c>
      <c r="D124" s="45" t="str">
        <f>IF(C124&lt;&gt;"",CONCATENATE(C124,"-",COUNTIF($C$4:C124,C124),""),"")</f>
        <v/>
      </c>
      <c r="E124" s="24"/>
      <c r="F124" s="24"/>
      <c r="G124" s="24"/>
      <c r="H124" s="24"/>
      <c r="I124" s="24"/>
      <c r="J124" s="24"/>
      <c r="K124" s="25"/>
    </row>
    <row r="125" spans="1:11" ht="293.25" customHeight="1" x14ac:dyDescent="0.35">
      <c r="A125" s="22"/>
      <c r="B125" s="23"/>
      <c r="C125" s="44" t="str">
        <f t="shared" si="3"/>
        <v/>
      </c>
      <c r="D125" s="45" t="str">
        <f>IF(C125&lt;&gt;"",CONCATENATE(C125,"-",COUNTIF($C$4:C125,C125),""),"")</f>
        <v/>
      </c>
      <c r="E125" s="24"/>
      <c r="F125" s="24"/>
      <c r="G125" s="24"/>
      <c r="H125" s="24"/>
      <c r="I125" s="24"/>
      <c r="J125" s="24"/>
      <c r="K125" s="25"/>
    </row>
    <row r="126" spans="1:11" ht="293.25" customHeight="1" x14ac:dyDescent="0.35">
      <c r="A126" s="22"/>
      <c r="B126" s="23"/>
      <c r="C126" s="44" t="str">
        <f t="shared" si="3"/>
        <v/>
      </c>
      <c r="D126" s="45" t="str">
        <f>IF(C126&lt;&gt;"",CONCATENATE(C126,"-",COUNTIF($C$4:C126,C126),""),"")</f>
        <v/>
      </c>
      <c r="E126" s="24"/>
      <c r="F126" s="24"/>
      <c r="G126" s="24"/>
      <c r="H126" s="24"/>
      <c r="I126" s="24"/>
      <c r="J126" s="24"/>
      <c r="K126" s="25"/>
    </row>
    <row r="127" spans="1:11" ht="293.25" customHeight="1" x14ac:dyDescent="0.35">
      <c r="A127" s="22"/>
      <c r="B127" s="23"/>
      <c r="C127" s="44" t="str">
        <f t="shared" si="3"/>
        <v/>
      </c>
      <c r="D127" s="45" t="str">
        <f>IF(C127&lt;&gt;"",CONCATENATE(C127,"-",COUNTIF($C$4:C127,C127),""),"")</f>
        <v/>
      </c>
      <c r="E127" s="24"/>
      <c r="F127" s="24"/>
      <c r="G127" s="24"/>
      <c r="H127" s="24"/>
      <c r="I127" s="24"/>
      <c r="J127" s="24"/>
      <c r="K127" s="25"/>
    </row>
    <row r="128" spans="1:11" ht="293.25" customHeight="1" x14ac:dyDescent="0.35">
      <c r="A128" s="22"/>
      <c r="B128" s="23"/>
      <c r="C128" s="44" t="str">
        <f t="shared" si="3"/>
        <v/>
      </c>
      <c r="D128" s="45" t="str">
        <f>IF(C128&lt;&gt;"",CONCATENATE(C128,"-",COUNTIF($C$4:C128,C128),""),"")</f>
        <v/>
      </c>
      <c r="E128" s="24"/>
      <c r="F128" s="24"/>
      <c r="G128" s="24"/>
      <c r="H128" s="24"/>
      <c r="I128" s="24"/>
      <c r="J128" s="24"/>
      <c r="K128" s="25"/>
    </row>
    <row r="129" spans="1:11" ht="293.25" customHeight="1" x14ac:dyDescent="0.35">
      <c r="A129" s="22"/>
      <c r="B129" s="23"/>
      <c r="C129" s="44" t="str">
        <f t="shared" si="3"/>
        <v/>
      </c>
      <c r="D129" s="45" t="str">
        <f>IF(C129&lt;&gt;"",CONCATENATE(C129,"-",COUNTIF($C$4:C129,C129),""),"")</f>
        <v/>
      </c>
      <c r="E129" s="24"/>
      <c r="F129" s="24"/>
      <c r="G129" s="24"/>
      <c r="H129" s="24"/>
      <c r="I129" s="24"/>
      <c r="J129" s="24"/>
      <c r="K129" s="25"/>
    </row>
    <row r="130" spans="1:11" ht="293.25" customHeight="1" x14ac:dyDescent="0.35">
      <c r="A130" s="22"/>
      <c r="B130" s="23"/>
      <c r="C130" s="44" t="str">
        <f t="shared" si="3"/>
        <v/>
      </c>
      <c r="D130" s="45" t="str">
        <f>IF(C130&lt;&gt;"",CONCATENATE(C130,"-",COUNTIF($C$4:C130,C130),""),"")</f>
        <v/>
      </c>
      <c r="E130" s="24"/>
      <c r="F130" s="24"/>
      <c r="G130" s="24"/>
      <c r="H130" s="24"/>
      <c r="I130" s="24"/>
      <c r="J130" s="24"/>
      <c r="K130" s="25"/>
    </row>
    <row r="131" spans="1:11" ht="293.25" customHeight="1" x14ac:dyDescent="0.35">
      <c r="A131" s="22"/>
      <c r="B131" s="23"/>
      <c r="C131" s="44" t="str">
        <f t="shared" si="3"/>
        <v/>
      </c>
      <c r="D131" s="45" t="str">
        <f>IF(C131&lt;&gt;"",CONCATENATE(C131,"-",COUNTIF($C$4:C131,C131),""),"")</f>
        <v/>
      </c>
      <c r="E131" s="24"/>
      <c r="F131" s="24"/>
      <c r="G131" s="24"/>
      <c r="H131" s="24"/>
      <c r="I131" s="24"/>
      <c r="J131" s="24"/>
      <c r="K131" s="25"/>
    </row>
    <row r="132" spans="1:11" ht="293.25" customHeight="1" x14ac:dyDescent="0.35">
      <c r="A132" s="22"/>
      <c r="B132" s="23"/>
      <c r="C132" s="44" t="str">
        <f t="shared" si="3"/>
        <v/>
      </c>
      <c r="D132" s="45" t="str">
        <f>IF(C132&lt;&gt;"",CONCATENATE(C132,"-",COUNTIF($C$4:C132,C132),""),"")</f>
        <v/>
      </c>
      <c r="E132" s="24"/>
      <c r="F132" s="24"/>
      <c r="G132" s="24"/>
      <c r="H132" s="24"/>
      <c r="I132" s="24"/>
      <c r="J132" s="24"/>
      <c r="K132" s="25"/>
    </row>
    <row r="133" spans="1:11" ht="293.25" customHeight="1" x14ac:dyDescent="0.35">
      <c r="A133" s="22"/>
      <c r="B133" s="23"/>
      <c r="C133" s="44" t="str">
        <f t="shared" si="3"/>
        <v/>
      </c>
      <c r="D133" s="45" t="str">
        <f>IF(C133&lt;&gt;"",CONCATENATE(C133,"-",COUNTIF($C$4:C133,C133),""),"")</f>
        <v/>
      </c>
      <c r="E133" s="24"/>
      <c r="F133" s="24"/>
      <c r="G133" s="24"/>
      <c r="H133" s="24"/>
      <c r="I133" s="24"/>
      <c r="J133" s="24"/>
      <c r="K133" s="25"/>
    </row>
    <row r="134" spans="1:11" ht="293.25" customHeight="1" x14ac:dyDescent="0.35">
      <c r="A134" s="22"/>
      <c r="B134" s="23"/>
      <c r="C134" s="44" t="str">
        <f t="shared" si="3"/>
        <v/>
      </c>
      <c r="D134" s="45" t="str">
        <f>IF(C134&lt;&gt;"",CONCATENATE(C134,"-",COUNTIF($C$4:C134,C134),""),"")</f>
        <v/>
      </c>
      <c r="E134" s="24"/>
      <c r="F134" s="24"/>
      <c r="G134" s="24"/>
      <c r="H134" s="24"/>
      <c r="I134" s="24"/>
      <c r="J134" s="24"/>
      <c r="K134" s="25"/>
    </row>
    <row r="135" spans="1:11" ht="293.25" customHeight="1" x14ac:dyDescent="0.35">
      <c r="A135" s="22"/>
      <c r="B135" s="23"/>
      <c r="C135" s="44" t="str">
        <f t="shared" si="3"/>
        <v/>
      </c>
      <c r="D135" s="45" t="str">
        <f>IF(C135&lt;&gt;"",CONCATENATE(C135,"-",COUNTIF($C$4:C135,C135),""),"")</f>
        <v/>
      </c>
      <c r="E135" s="24"/>
      <c r="F135" s="24"/>
      <c r="G135" s="24"/>
      <c r="H135" s="24"/>
      <c r="I135" s="24"/>
      <c r="J135" s="24"/>
      <c r="K135" s="25"/>
    </row>
    <row r="136" spans="1:11" ht="293.25" customHeight="1" x14ac:dyDescent="0.35">
      <c r="A136" s="22"/>
      <c r="B136" s="23"/>
      <c r="C136" s="44" t="str">
        <f t="shared" si="3"/>
        <v/>
      </c>
      <c r="D136" s="45" t="str">
        <f>IF(C136&lt;&gt;"",CONCATENATE(C136,"-",COUNTIF($C$4:C136,C136),""),"")</f>
        <v/>
      </c>
      <c r="E136" s="24"/>
      <c r="F136" s="24"/>
      <c r="G136" s="24"/>
      <c r="H136" s="24"/>
      <c r="I136" s="24"/>
      <c r="J136" s="24"/>
      <c r="K136" s="25"/>
    </row>
    <row r="137" spans="1:11" ht="293.25" customHeight="1" x14ac:dyDescent="0.35">
      <c r="A137" s="22"/>
      <c r="B137" s="23"/>
      <c r="C137" s="44" t="str">
        <f t="shared" si="3"/>
        <v/>
      </c>
      <c r="D137" s="45" t="str">
        <f>IF(C137&lt;&gt;"",CONCATENATE(C137,"-",COUNTIF($C$4:C137,C137),""),"")</f>
        <v/>
      </c>
      <c r="E137" s="24"/>
      <c r="F137" s="24"/>
      <c r="G137" s="24"/>
      <c r="H137" s="24"/>
      <c r="I137" s="24"/>
      <c r="J137" s="24"/>
      <c r="K137" s="25"/>
    </row>
    <row r="138" spans="1:11" ht="293.25" customHeight="1" x14ac:dyDescent="0.35">
      <c r="A138" s="22"/>
      <c r="B138" s="23"/>
      <c r="C138" s="44" t="str">
        <f t="shared" si="3"/>
        <v/>
      </c>
      <c r="D138" s="45" t="str">
        <f>IF(C138&lt;&gt;"",CONCATENATE(C138,"-",COUNTIF($C$4:C138,C138),""),"")</f>
        <v/>
      </c>
      <c r="E138" s="24"/>
      <c r="F138" s="24"/>
      <c r="G138" s="24"/>
      <c r="H138" s="24"/>
      <c r="I138" s="24"/>
      <c r="J138" s="24"/>
      <c r="K138" s="25"/>
    </row>
    <row r="139" spans="1:11" ht="293.25" customHeight="1" x14ac:dyDescent="0.35">
      <c r="A139" s="22"/>
      <c r="B139" s="23"/>
      <c r="C139" s="44" t="str">
        <f t="shared" si="3"/>
        <v/>
      </c>
      <c r="D139" s="45" t="str">
        <f>IF(C139&lt;&gt;"",CONCATENATE(C139,"-",COUNTIF($C$4:C139,C139),""),"")</f>
        <v/>
      </c>
      <c r="E139" s="24"/>
      <c r="F139" s="24"/>
      <c r="G139" s="24"/>
      <c r="H139" s="24"/>
      <c r="I139" s="24"/>
      <c r="J139" s="24"/>
      <c r="K139" s="25"/>
    </row>
    <row r="140" spans="1:11" ht="293.25" customHeight="1" x14ac:dyDescent="0.35">
      <c r="A140" s="22"/>
      <c r="B140" s="23"/>
      <c r="C140" s="44" t="str">
        <f t="shared" si="3"/>
        <v/>
      </c>
      <c r="D140" s="45" t="str">
        <f>IF(C140&lt;&gt;"",CONCATENATE(C140,"-",COUNTIF($C$4:C140,C140),""),"")</f>
        <v/>
      </c>
      <c r="E140" s="24"/>
      <c r="F140" s="24"/>
      <c r="G140" s="24"/>
      <c r="H140" s="24"/>
      <c r="I140" s="24"/>
      <c r="J140" s="24"/>
      <c r="K140" s="25"/>
    </row>
    <row r="141" spans="1:11" ht="293.25" customHeight="1" x14ac:dyDescent="0.35">
      <c r="A141" s="22"/>
      <c r="B141" s="23"/>
      <c r="C141" s="44" t="str">
        <f t="shared" si="3"/>
        <v/>
      </c>
      <c r="D141" s="45" t="str">
        <f>IF(C141&lt;&gt;"",CONCATENATE(C141,"-",COUNTIF($C$4:C141,C141),""),"")</f>
        <v/>
      </c>
      <c r="E141" s="24"/>
      <c r="F141" s="24"/>
      <c r="G141" s="24"/>
      <c r="H141" s="24"/>
      <c r="I141" s="24"/>
      <c r="J141" s="24"/>
      <c r="K141" s="25"/>
    </row>
    <row r="142" spans="1:11" ht="293.25" customHeight="1" x14ac:dyDescent="0.35">
      <c r="A142" s="22"/>
      <c r="B142" s="23"/>
      <c r="C142" s="44" t="str">
        <f t="shared" si="3"/>
        <v/>
      </c>
      <c r="D142" s="45" t="str">
        <f>IF(C142&lt;&gt;"",CONCATENATE(C142,"-",COUNTIF($C$4:C142,C142),""),"")</f>
        <v/>
      </c>
      <c r="E142" s="24"/>
      <c r="F142" s="24"/>
      <c r="G142" s="24"/>
      <c r="H142" s="24"/>
      <c r="I142" s="24"/>
      <c r="J142" s="24"/>
      <c r="K142" s="25"/>
    </row>
    <row r="143" spans="1:11" ht="293.25" customHeight="1" x14ac:dyDescent="0.35">
      <c r="A143" s="22"/>
      <c r="B143" s="23"/>
      <c r="C143" s="44" t="str">
        <f t="shared" si="3"/>
        <v/>
      </c>
      <c r="D143" s="45" t="str">
        <f>IF(C143&lt;&gt;"",CONCATENATE(C143,"-",COUNTIF($C$4:C143,C143),""),"")</f>
        <v/>
      </c>
      <c r="E143" s="24"/>
      <c r="F143" s="24"/>
      <c r="G143" s="24"/>
      <c r="H143" s="24"/>
      <c r="I143" s="24"/>
      <c r="J143" s="24"/>
      <c r="K143" s="25"/>
    </row>
    <row r="144" spans="1:11" ht="293.25" customHeight="1" x14ac:dyDescent="0.35">
      <c r="A144" s="22"/>
      <c r="B144" s="23"/>
      <c r="C144" s="44" t="str">
        <f t="shared" si="3"/>
        <v/>
      </c>
      <c r="D144" s="45" t="str">
        <f>IF(C144&lt;&gt;"",CONCATENATE(C144,"-",COUNTIF($C$4:C144,C144),""),"")</f>
        <v/>
      </c>
      <c r="E144" s="24"/>
      <c r="F144" s="24"/>
      <c r="G144" s="24"/>
      <c r="H144" s="24"/>
      <c r="I144" s="24"/>
      <c r="J144" s="24"/>
      <c r="K144" s="25"/>
    </row>
    <row r="145" spans="1:11" ht="293.25" customHeight="1" x14ac:dyDescent="0.35">
      <c r="A145" s="22"/>
      <c r="B145" s="23"/>
      <c r="C145" s="44" t="str">
        <f t="shared" si="3"/>
        <v/>
      </c>
      <c r="D145" s="45" t="str">
        <f>IF(C145&lt;&gt;"",CONCATENATE(C145,"-",COUNTIF($C$4:C145,C145),""),"")</f>
        <v/>
      </c>
      <c r="E145" s="24"/>
      <c r="F145" s="24"/>
      <c r="G145" s="24"/>
      <c r="H145" s="24"/>
      <c r="I145" s="24"/>
      <c r="J145" s="24"/>
      <c r="K145" s="25"/>
    </row>
    <row r="146" spans="1:11" ht="293.25" customHeight="1" x14ac:dyDescent="0.35">
      <c r="A146" s="22"/>
      <c r="B146" s="23"/>
      <c r="C146" s="44" t="str">
        <f t="shared" si="3"/>
        <v/>
      </c>
      <c r="D146" s="45" t="str">
        <f>IF(C146&lt;&gt;"",CONCATENATE(C146,"-",COUNTIF($C$4:C146,C146),""),"")</f>
        <v/>
      </c>
      <c r="E146" s="24"/>
      <c r="F146" s="24"/>
      <c r="G146" s="24"/>
      <c r="H146" s="24"/>
      <c r="I146" s="24"/>
      <c r="J146" s="24"/>
      <c r="K146" s="25"/>
    </row>
    <row r="147" spans="1:11" ht="293.25" customHeight="1" x14ac:dyDescent="0.35">
      <c r="A147" s="22"/>
      <c r="B147" s="23"/>
      <c r="C147" s="44" t="str">
        <f t="shared" si="3"/>
        <v/>
      </c>
      <c r="D147" s="45" t="str">
        <f>IF(C147&lt;&gt;"",CONCATENATE(C147,"-",COUNTIF($C$4:C147,C147),""),"")</f>
        <v/>
      </c>
      <c r="E147" s="24"/>
      <c r="F147" s="24"/>
      <c r="G147" s="24"/>
      <c r="H147" s="24"/>
      <c r="I147" s="24"/>
      <c r="J147" s="24"/>
      <c r="K147" s="25"/>
    </row>
    <row r="148" spans="1:11" ht="293.25" customHeight="1" x14ac:dyDescent="0.35">
      <c r="A148" s="22"/>
      <c r="B148" s="23"/>
      <c r="C148" s="44" t="str">
        <f t="shared" si="3"/>
        <v/>
      </c>
      <c r="D148" s="45" t="str">
        <f>IF(C148&lt;&gt;"",CONCATENATE(C148,"-",COUNTIF($C$4:C148,C148),""),"")</f>
        <v/>
      </c>
      <c r="E148" s="24"/>
      <c r="F148" s="24"/>
      <c r="G148" s="24"/>
      <c r="H148" s="24"/>
      <c r="I148" s="24"/>
      <c r="J148" s="24"/>
      <c r="K148" s="25"/>
    </row>
    <row r="149" spans="1:11" ht="293.25" customHeight="1" x14ac:dyDescent="0.35">
      <c r="A149" s="22"/>
      <c r="B149" s="23"/>
      <c r="C149" s="44" t="str">
        <f t="shared" si="3"/>
        <v/>
      </c>
      <c r="D149" s="45" t="str">
        <f>IF(C149&lt;&gt;"",CONCATENATE(C149,"-",COUNTIF($C$4:C149,C149),""),"")</f>
        <v/>
      </c>
      <c r="E149" s="24"/>
      <c r="F149" s="24"/>
      <c r="G149" s="24"/>
      <c r="H149" s="24"/>
      <c r="I149" s="24"/>
      <c r="J149" s="24"/>
      <c r="K149" s="25"/>
    </row>
    <row r="150" spans="1:11" ht="293.25" customHeight="1" x14ac:dyDescent="0.35">
      <c r="A150" s="22"/>
      <c r="B150" s="23"/>
      <c r="C150" s="44" t="str">
        <f t="shared" si="3"/>
        <v/>
      </c>
      <c r="D150" s="45" t="str">
        <f>IF(C150&lt;&gt;"",CONCATENATE(C150,"-",COUNTIF($C$4:C150,C150),""),"")</f>
        <v/>
      </c>
      <c r="E150" s="24"/>
      <c r="F150" s="24"/>
      <c r="G150" s="24"/>
      <c r="H150" s="24"/>
      <c r="I150" s="24"/>
      <c r="J150" s="24"/>
      <c r="K150" s="25"/>
    </row>
    <row r="151" spans="1:11" ht="293.25" customHeight="1" x14ac:dyDescent="0.35">
      <c r="A151" s="22"/>
      <c r="B151" s="23"/>
      <c r="C151" s="44" t="str">
        <f t="shared" si="3"/>
        <v/>
      </c>
      <c r="D151" s="45" t="str">
        <f>IF(C151&lt;&gt;"",CONCATENATE(C151,"-",COUNTIF($C$4:C151,C151),""),"")</f>
        <v/>
      </c>
      <c r="E151" s="24"/>
      <c r="F151" s="24"/>
      <c r="G151" s="24"/>
      <c r="H151" s="24"/>
      <c r="I151" s="24"/>
      <c r="J151" s="24"/>
      <c r="K151" s="25"/>
    </row>
    <row r="152" spans="1:11" ht="293.25" customHeight="1" x14ac:dyDescent="0.35">
      <c r="A152" s="22"/>
      <c r="B152" s="23"/>
      <c r="C152" s="44" t="str">
        <f t="shared" si="3"/>
        <v/>
      </c>
      <c r="D152" s="45" t="str">
        <f>IF(C152&lt;&gt;"",CONCATENATE(C152,"-",COUNTIF($C$4:C152,C152),""),"")</f>
        <v/>
      </c>
      <c r="E152" s="24"/>
      <c r="F152" s="24"/>
      <c r="G152" s="24"/>
      <c r="H152" s="24"/>
      <c r="I152" s="24"/>
      <c r="J152" s="24"/>
      <c r="K152" s="25"/>
    </row>
    <row r="153" spans="1:11" ht="293.25" customHeight="1" x14ac:dyDescent="0.35">
      <c r="A153" s="22"/>
      <c r="B153" s="23"/>
      <c r="C153" s="44" t="str">
        <f t="shared" si="3"/>
        <v/>
      </c>
      <c r="D153" s="45" t="str">
        <f>IF(C153&lt;&gt;"",CONCATENATE(C153,"-",COUNTIF($C$4:C153,C153),""),"")</f>
        <v/>
      </c>
      <c r="E153" s="24"/>
      <c r="F153" s="24"/>
      <c r="G153" s="24"/>
      <c r="H153" s="24"/>
      <c r="I153" s="24"/>
      <c r="J153" s="24"/>
      <c r="K153" s="25"/>
    </row>
    <row r="154" spans="1:11" ht="293.25" customHeight="1" x14ac:dyDescent="0.35">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63500</xdr:colOff>
                    <xdr:row>0</xdr:row>
                    <xdr:rowOff>63500</xdr:rowOff>
                  </from>
                  <to>
                    <xdr:col>6</xdr:col>
                    <xdr:colOff>1562100</xdr:colOff>
                    <xdr:row>0</xdr:row>
                    <xdr:rowOff>336550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69850</xdr:colOff>
                    <xdr:row>0</xdr:row>
                    <xdr:rowOff>63500</xdr:rowOff>
                  </from>
                  <to>
                    <xdr:col>7</xdr:col>
                    <xdr:colOff>1568450</xdr:colOff>
                    <xdr:row>0</xdr:row>
                    <xdr:rowOff>336550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abSelected="1" topLeftCell="A13" workbookViewId="0">
      <selection activeCell="C23" sqref="C23:C26"/>
    </sheetView>
  </sheetViews>
  <sheetFormatPr defaultRowHeight="14.5" x14ac:dyDescent="0.35"/>
  <cols>
    <col min="1" max="1" width="33.1796875" customWidth="1"/>
    <col min="2" max="3" width="33.54296875" customWidth="1"/>
    <col min="4" max="4" width="28.26953125" customWidth="1"/>
  </cols>
  <sheetData>
    <row r="1" spans="1:6" ht="31" x14ac:dyDescent="0.7">
      <c r="A1" s="93" t="s">
        <v>16</v>
      </c>
      <c r="B1" s="93"/>
      <c r="C1" s="93"/>
    </row>
    <row r="3" spans="1:6" ht="24" customHeight="1" x14ac:dyDescent="0.35">
      <c r="A3" s="88" t="s">
        <v>17</v>
      </c>
      <c r="B3" s="89"/>
      <c r="C3" s="90"/>
    </row>
    <row r="4" spans="1:6" ht="2.25" customHeight="1" x14ac:dyDescent="0.35">
      <c r="A4" s="27"/>
      <c r="B4" s="35"/>
      <c r="C4" s="35"/>
    </row>
    <row r="5" spans="1:6" s="16" customFormat="1" ht="34.5" customHeight="1" x14ac:dyDescent="0.35">
      <c r="A5" s="52" t="s">
        <v>18</v>
      </c>
      <c r="B5" s="34" t="str">
        <f>KerntakenEnWerkprocessen!B4</f>
        <v>BF_SD_SD20_B1-K2_2</v>
      </c>
      <c r="C5" s="37">
        <f>KerntakenEnWerkprocessen!B3</f>
        <v>44131</v>
      </c>
    </row>
    <row r="6" spans="1:6" s="16" customFormat="1" ht="23.25" customHeight="1" x14ac:dyDescent="0.35">
      <c r="A6" s="53" t="s">
        <v>19</v>
      </c>
      <c r="B6" s="94" t="str">
        <f>KerntakenEnWerkprocessen!C6</f>
        <v>Praktijkexamen</v>
      </c>
      <c r="C6" s="95"/>
    </row>
    <row r="7" spans="1:6" s="16" customFormat="1" ht="23.25" customHeight="1" x14ac:dyDescent="0.35">
      <c r="A7" s="53" t="s">
        <v>21</v>
      </c>
      <c r="B7" s="94" t="str">
        <f>KerntakenEnWerkprocessen!C7</f>
        <v>[Examencode]</v>
      </c>
      <c r="C7" s="95"/>
    </row>
    <row r="8" spans="1:6" s="16" customFormat="1" ht="23.25" customHeight="1" x14ac:dyDescent="0.35">
      <c r="A8" s="53" t="s">
        <v>22</v>
      </c>
      <c r="B8" s="94" t="str">
        <f>KerntakenEnWerkprocessen!B9</f>
        <v>P1: Software developer, 4</v>
      </c>
      <c r="C8" s="95"/>
    </row>
    <row r="9" spans="1:6" s="16" customFormat="1" ht="23.25" customHeight="1" x14ac:dyDescent="0.35">
      <c r="A9" s="53" t="s">
        <v>23</v>
      </c>
      <c r="B9" s="94" t="str">
        <f>KerntakenEnWerkprocessen!B8</f>
        <v>Software development</v>
      </c>
      <c r="C9" s="95"/>
    </row>
    <row r="10" spans="1:6" s="16" customFormat="1" ht="23.25" customHeight="1" x14ac:dyDescent="0.35">
      <c r="A10" s="53" t="s">
        <v>24</v>
      </c>
      <c r="B10" s="19" t="str">
        <f>KerntakenEnWerkprocessen!C8</f>
        <v>2020 en verder</v>
      </c>
      <c r="C10" s="19">
        <f>KerntakenEnWerkprocessen!C9</f>
        <v>25604</v>
      </c>
    </row>
    <row r="11" spans="1:6" s="32" customFormat="1" ht="23.25" customHeight="1" x14ac:dyDescent="0.35">
      <c r="A11" s="54" t="s">
        <v>25</v>
      </c>
      <c r="B11" s="92" t="str">
        <f>KerntakenEnWerkprocessen!C5</f>
        <v>Werkt in een ontwikkelteam</v>
      </c>
      <c r="C11" s="92"/>
    </row>
    <row r="12" spans="1:6" s="16" customFormat="1" ht="2.15" customHeight="1" x14ac:dyDescent="0.35">
      <c r="A12" s="55"/>
      <c r="B12" s="28"/>
      <c r="C12" s="29"/>
    </row>
    <row r="13" spans="1:6" ht="222.75" customHeight="1" x14ac:dyDescent="0.35">
      <c r="A13" s="56" t="s">
        <v>26</v>
      </c>
      <c r="B13" s="91" t="str">
        <f>KerntakenEnWerkprocessen!F2</f>
        <v xml:space="preserve">B1-K2-W1 Voert overleg
B1-K2-W2 Presenteert het opgeleverde werk
B1-K2-W3 Reflecteert op het werk
</v>
      </c>
      <c r="C13" s="91"/>
      <c r="F13" s="26"/>
    </row>
    <row r="15" spans="1:6" x14ac:dyDescent="0.35">
      <c r="A15" s="101" t="s">
        <v>36</v>
      </c>
      <c r="B15" s="102"/>
      <c r="C15" s="103"/>
    </row>
    <row r="16" spans="1:6" ht="14.25" customHeight="1" x14ac:dyDescent="0.35">
      <c r="A16" s="70" t="s">
        <v>37</v>
      </c>
      <c r="B16" s="104">
        <v>45604</v>
      </c>
      <c r="C16" s="105"/>
      <c r="D16" s="71" t="s">
        <v>106</v>
      </c>
    </row>
    <row r="17" spans="1:3" x14ac:dyDescent="0.35">
      <c r="A17" s="70" t="s">
        <v>38</v>
      </c>
      <c r="B17" s="99" t="s">
        <v>153</v>
      </c>
      <c r="C17" s="100"/>
    </row>
    <row r="18" spans="1:3" x14ac:dyDescent="0.35">
      <c r="A18" s="70" t="s">
        <v>39</v>
      </c>
      <c r="B18" s="106">
        <v>9019232</v>
      </c>
      <c r="C18" s="107"/>
    </row>
    <row r="19" spans="1:3" x14ac:dyDescent="0.35">
      <c r="A19" s="70" t="s">
        <v>40</v>
      </c>
      <c r="B19" s="106" t="s">
        <v>154</v>
      </c>
      <c r="C19" s="107"/>
    </row>
    <row r="20" spans="1:3" x14ac:dyDescent="0.35">
      <c r="A20" s="70" t="s">
        <v>107</v>
      </c>
      <c r="B20" s="99"/>
      <c r="C20" s="100"/>
    </row>
    <row r="21" spans="1:3" x14ac:dyDescent="0.35">
      <c r="A21" s="70" t="s">
        <v>108</v>
      </c>
      <c r="B21" s="99" t="s">
        <v>152</v>
      </c>
      <c r="C21" s="100"/>
    </row>
    <row r="22" spans="1:3" ht="15" thickBot="1" x14ac:dyDescent="0.4"/>
    <row r="23" spans="1:3" ht="15" thickBot="1" x14ac:dyDescent="0.4">
      <c r="A23" s="72" t="s">
        <v>26</v>
      </c>
      <c r="B23" s="73" t="s">
        <v>109</v>
      </c>
      <c r="C23" s="108" t="s">
        <v>110</v>
      </c>
    </row>
    <row r="24" spans="1:3" x14ac:dyDescent="0.35">
      <c r="A24" s="70" t="s">
        <v>63</v>
      </c>
      <c r="B24" s="74">
        <f>'B1-K2-W1'!B45</f>
        <v>10</v>
      </c>
      <c r="C24" s="108"/>
    </row>
    <row r="25" spans="1:3" x14ac:dyDescent="0.35">
      <c r="A25" s="70" t="s">
        <v>65</v>
      </c>
      <c r="B25" s="74">
        <f>'B1-K2-W2'!B41</f>
        <v>10</v>
      </c>
      <c r="C25" s="108"/>
    </row>
    <row r="26" spans="1:3" x14ac:dyDescent="0.35">
      <c r="A26" s="70" t="s">
        <v>67</v>
      </c>
      <c r="B26" s="74">
        <f>'B1-K2-W3'!B41</f>
        <v>10</v>
      </c>
      <c r="C26" s="108"/>
    </row>
    <row r="27" spans="1:3" x14ac:dyDescent="0.35">
      <c r="A27" s="16"/>
      <c r="B27" s="84"/>
      <c r="C27" s="83"/>
    </row>
    <row r="28" spans="1:3" x14ac:dyDescent="0.35">
      <c r="A28" s="85" t="s">
        <v>111</v>
      </c>
      <c r="B28" s="86" cm="1">
        <f t="array" ref="B28">IF(OR(B24:B26&lt;5.5),1,IF(OR(B24:B26=""),"",(AVERAGE(B24:B26))))</f>
        <v>10</v>
      </c>
      <c r="C28" s="83"/>
    </row>
    <row r="29" spans="1:3" ht="15" thickBot="1" x14ac:dyDescent="0.4"/>
    <row r="30" spans="1:3" ht="15" thickBot="1" x14ac:dyDescent="0.4">
      <c r="A30" s="72" t="s">
        <v>112</v>
      </c>
      <c r="B30" s="72" t="s">
        <v>113</v>
      </c>
    </row>
    <row r="31" spans="1:3" x14ac:dyDescent="0.35">
      <c r="A31" s="75"/>
      <c r="B31" s="75"/>
      <c r="C31" s="76"/>
    </row>
    <row r="32" spans="1:3" x14ac:dyDescent="0.35">
      <c r="A32" s="77"/>
      <c r="B32" s="77"/>
    </row>
    <row r="33" spans="1:2" x14ac:dyDescent="0.35">
      <c r="A33" s="77"/>
      <c r="B33" s="77"/>
    </row>
    <row r="34" spans="1:2" x14ac:dyDescent="0.35">
      <c r="A34" s="77"/>
      <c r="B34" s="77"/>
    </row>
    <row r="35" spans="1:2" ht="15" thickBot="1" x14ac:dyDescent="0.4">
      <c r="A35" s="78"/>
      <c r="B35" s="78"/>
    </row>
  </sheetData>
  <mergeCells count="16">
    <mergeCell ref="B18:C18"/>
    <mergeCell ref="B19:C19"/>
    <mergeCell ref="B20:C20"/>
    <mergeCell ref="B21:C21"/>
    <mergeCell ref="C23:C26"/>
    <mergeCell ref="B17:C17"/>
    <mergeCell ref="A1:C1"/>
    <mergeCell ref="A3:C3"/>
    <mergeCell ref="B6:C6"/>
    <mergeCell ref="B7:C7"/>
    <mergeCell ref="B8:C8"/>
    <mergeCell ref="B9:C9"/>
    <mergeCell ref="B11:C11"/>
    <mergeCell ref="B13:C13"/>
    <mergeCell ref="A15:C15"/>
    <mergeCell ref="B16:C1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51" workbookViewId="0">
      <selection activeCell="B50" sqref="B50:G50"/>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27</v>
      </c>
      <c r="B1" s="6" t="s">
        <v>63</v>
      </c>
      <c r="C1" s="50" t="str">
        <f>VLOOKUP(B1,werkprocessen,2,FALSE)</f>
        <v>Voert overleg</v>
      </c>
    </row>
    <row r="2" spans="1:7" hidden="1" x14ac:dyDescent="0.35">
      <c r="A2" t="s">
        <v>28</v>
      </c>
      <c r="B2" s="6">
        <f>VLOOKUP(B1,KerntakenEnWerkprocessen!B13:E27,3,FALSE)</f>
        <v>1</v>
      </c>
    </row>
    <row r="3" spans="1:7" hidden="1" x14ac:dyDescent="0.35">
      <c r="A3" t="s">
        <v>29</v>
      </c>
      <c r="B3" s="6">
        <f>VLOOKUP(B1,KerntakenEnWerkprocessen!B13:E27,4,FALSE)</f>
        <v>1</v>
      </c>
    </row>
    <row r="4" spans="1:7" hidden="1" x14ac:dyDescent="0.35">
      <c r="A4" t="s">
        <v>30</v>
      </c>
      <c r="B4" s="6">
        <f>SUM(N:N)</f>
        <v>12</v>
      </c>
      <c r="C4" s="49" t="s">
        <v>31</v>
      </c>
      <c r="D4" s="48" t="b">
        <f>IF(SUM(O:O)&gt;0,TRUE,FALSE)</f>
        <v>1</v>
      </c>
    </row>
    <row r="5" spans="1:7" hidden="1" x14ac:dyDescent="0.35">
      <c r="A5" t="s">
        <v>32</v>
      </c>
      <c r="B5" s="6">
        <f>SUM(M:M)</f>
        <v>12</v>
      </c>
    </row>
    <row r="6" spans="1:7" hidden="1" x14ac:dyDescent="0.35">
      <c r="A6" t="s">
        <v>33</v>
      </c>
      <c r="B6" s="6">
        <f>COUNTIF(N:N,1)</f>
        <v>0</v>
      </c>
    </row>
    <row r="7" spans="1:7" hidden="1" x14ac:dyDescent="0.35">
      <c r="A7" t="s">
        <v>34</v>
      </c>
      <c r="B7" s="6">
        <f>COUNTIF(N:N,2)+COUNTIF(N:N,3)</f>
        <v>4</v>
      </c>
    </row>
    <row r="8" spans="1:7" hidden="1" x14ac:dyDescent="0.35">
      <c r="A8" t="s">
        <v>35</v>
      </c>
      <c r="B8" s="6">
        <f>0.5*B4</f>
        <v>6</v>
      </c>
    </row>
    <row r="10" spans="1:7" ht="36.75" customHeight="1" x14ac:dyDescent="0.7">
      <c r="B10" s="96" t="str">
        <f>CONCATENATE(kerntaakCode,": ",kerntaakNaam)</f>
        <v>B1-K2: Werkt in een ontwikkelteam</v>
      </c>
      <c r="C10" s="96"/>
      <c r="D10" s="96"/>
      <c r="E10" s="96"/>
      <c r="F10" s="96"/>
      <c r="G10" s="96"/>
    </row>
    <row r="11" spans="1:7" ht="28.5" customHeight="1" x14ac:dyDescent="0.6">
      <c r="B11" s="97" t="str">
        <f>CONCATENATE(VLOOKUP(B1,werkprocessen,1,FALSE),": ",C1)</f>
        <v>B1-K2-W1: Voert overleg</v>
      </c>
      <c r="C11" s="97"/>
      <c r="D11" s="97"/>
      <c r="E11" s="97"/>
      <c r="F11" s="97"/>
      <c r="G11" s="97"/>
    </row>
    <row r="13" spans="1:7" ht="24" customHeight="1" x14ac:dyDescent="0.35">
      <c r="B13" s="88" t="s">
        <v>36</v>
      </c>
      <c r="C13" s="89"/>
      <c r="D13" s="89"/>
      <c r="E13" s="89"/>
      <c r="F13" s="89"/>
      <c r="G13" s="90"/>
    </row>
    <row r="14" spans="1:7" ht="22.5" customHeight="1" x14ac:dyDescent="0.35">
      <c r="B14" s="57" t="s">
        <v>37</v>
      </c>
      <c r="C14" s="80">
        <f>IF(Voorblad!B16="","",Voorblad!B16)</f>
        <v>45604</v>
      </c>
      <c r="D14" s="9"/>
      <c r="E14" s="9"/>
      <c r="F14" s="9"/>
      <c r="G14" s="13"/>
    </row>
    <row r="15" spans="1:7" ht="22.5" customHeight="1" x14ac:dyDescent="0.35">
      <c r="B15" s="57" t="s">
        <v>38</v>
      </c>
      <c r="C15" s="81" t="str">
        <f>IF(Voorblad!B17="","",Voorblad!B17)</f>
        <v>Sofie Brink</v>
      </c>
      <c r="D15" s="10"/>
      <c r="E15" s="10"/>
      <c r="F15" s="10"/>
      <c r="G15" s="14"/>
    </row>
    <row r="16" spans="1:7" ht="22.5" customHeight="1" x14ac:dyDescent="0.35">
      <c r="B16" s="57" t="s">
        <v>39</v>
      </c>
      <c r="C16" s="82">
        <f>IF(Voorblad!B18="","",Voorblad!B18)</f>
        <v>9019232</v>
      </c>
      <c r="D16" s="10"/>
      <c r="E16" s="10"/>
      <c r="F16" s="10"/>
      <c r="G16" s="14"/>
    </row>
    <row r="17" spans="1:15" ht="22.5" customHeight="1" x14ac:dyDescent="0.35">
      <c r="B17" s="57" t="s">
        <v>40</v>
      </c>
      <c r="C17" s="79" t="str">
        <f>IF(Voorblad!B19="","",Voorblad!B19)</f>
        <v>SOD3A</v>
      </c>
      <c r="D17" s="10"/>
      <c r="E17" s="10"/>
      <c r="F17" s="10"/>
      <c r="G17" s="14"/>
    </row>
    <row r="18" spans="1:15" ht="22.5" customHeight="1" x14ac:dyDescent="0.35">
      <c r="B18" s="70" t="s">
        <v>107</v>
      </c>
      <c r="C18" s="79" t="str">
        <f>IF(Voorblad!B20="","",Voorblad!B20)</f>
        <v/>
      </c>
      <c r="D18" s="10"/>
      <c r="E18" s="10"/>
      <c r="F18" s="10"/>
      <c r="G18" s="14"/>
    </row>
    <row r="19" spans="1:15" ht="22.5" customHeight="1" x14ac:dyDescent="0.35">
      <c r="B19" s="70" t="s">
        <v>108</v>
      </c>
      <c r="C19" s="79" t="str">
        <f>IF(Voorblad!B21="","",Voorblad!B21)</f>
        <v>Misha Ho Sam Sooi</v>
      </c>
      <c r="D19" s="10"/>
      <c r="E19" s="10"/>
      <c r="F19" s="10"/>
      <c r="G19" s="14"/>
    </row>
    <row r="20" spans="1:15" ht="23.25" customHeight="1" x14ac:dyDescent="0.35"/>
    <row r="21" spans="1:15" ht="24" customHeight="1" x14ac:dyDescent="0.35">
      <c r="B21" s="110" t="s">
        <v>114</v>
      </c>
      <c r="C21" s="110"/>
      <c r="D21" s="110"/>
      <c r="E21" s="110"/>
      <c r="F21" s="110"/>
      <c r="G21" s="110"/>
    </row>
    <row r="22" spans="1:15" hidden="1" x14ac:dyDescent="0.35">
      <c r="A22" t="s">
        <v>115</v>
      </c>
      <c r="B22" s="58">
        <v>1</v>
      </c>
      <c r="D22" s="8" t="s">
        <v>116</v>
      </c>
      <c r="E22" s="59" t="s">
        <v>117</v>
      </c>
      <c r="G22" s="8" t="s">
        <v>118</v>
      </c>
      <c r="H22" s="58">
        <f>COUNTIF(Beheersingsniveaus!$C$4:$C$154,$E22)</f>
        <v>4</v>
      </c>
    </row>
    <row r="23" spans="1:15" x14ac:dyDescent="0.35">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 customHeight="1" x14ac:dyDescent="0.35">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5" customHeight="1" x14ac:dyDescent="0.35">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 customHeight="1" x14ac:dyDescent="0.35">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1</v>
      </c>
      <c r="M26" s="58">
        <f>IF(L26=TRUE,3,IF(K26=TRUE,2,IF(J26=TRUE,1,IF(I26=TRUE,0,0))))</f>
        <v>3</v>
      </c>
      <c r="N26" s="58">
        <f>(4-COUNTBLANK(D26:G26))-1</f>
        <v>3</v>
      </c>
      <c r="O26" s="58">
        <f>COUNTA(I26:L26)</f>
        <v>1</v>
      </c>
    </row>
    <row r="27" spans="1:15" ht="85" customHeight="1" x14ac:dyDescent="0.35">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t="b">
        <v>0</v>
      </c>
      <c r="J27" s="58"/>
      <c r="K27" s="58" t="b">
        <v>0</v>
      </c>
      <c r="L27" s="58" t="b">
        <v>1</v>
      </c>
      <c r="M27" s="58">
        <f>IF(L27=TRUE,3,IF(K27=TRUE,2,IF(J27=TRUE,1,IF(I27=TRUE,0,0))))</f>
        <v>3</v>
      </c>
      <c r="N27" s="58">
        <f>(4-COUNTBLANK(D27:G27))-1</f>
        <v>3</v>
      </c>
      <c r="O27" s="58">
        <f>COUNTA(I27:L27)</f>
        <v>3</v>
      </c>
    </row>
    <row r="29" spans="1:15" ht="28.5" customHeight="1" x14ac:dyDescent="0.6">
      <c r="B29" s="111" t="s">
        <v>129</v>
      </c>
      <c r="C29" s="112"/>
      <c r="D29" s="112"/>
      <c r="E29" s="112"/>
      <c r="F29" s="112"/>
      <c r="G29" s="112"/>
    </row>
    <row r="30" spans="1:15" ht="26.15" customHeight="1" x14ac:dyDescent="0.35">
      <c r="B30" s="65" t="s">
        <v>130</v>
      </c>
    </row>
    <row r="31" spans="1:15" x14ac:dyDescent="0.35">
      <c r="B31" s="66" t="s">
        <v>131</v>
      </c>
      <c r="C31" s="66" t="s">
        <v>132</v>
      </c>
      <c r="D31" s="87" t="s">
        <v>133</v>
      </c>
    </row>
    <row r="32" spans="1:15" x14ac:dyDescent="0.35">
      <c r="B32" s="67">
        <v>0</v>
      </c>
      <c r="C32" s="68">
        <f t="shared" ref="C32:C44" si="0">ROUNDUP(IF(B32&lt;$B$8,4.5/$B$8*B32+1,4.5/($B$4-$B$8)*(B32-$B$8)+5.5),1)</f>
        <v>1</v>
      </c>
      <c r="D32" s="60"/>
    </row>
    <row r="33" spans="2:4" x14ac:dyDescent="0.35">
      <c r="B33" s="67">
        <v>1</v>
      </c>
      <c r="C33" s="68">
        <f t="shared" si="0"/>
        <v>1.8</v>
      </c>
      <c r="D33" s="60" t="str">
        <f t="shared" ref="D33:D44" si="1">IF($B33=$B$5,"X","")</f>
        <v/>
      </c>
    </row>
    <row r="34" spans="2:4" x14ac:dyDescent="0.35">
      <c r="B34" s="67">
        <v>2</v>
      </c>
      <c r="C34" s="68">
        <f t="shared" si="0"/>
        <v>2.5</v>
      </c>
      <c r="D34" s="60" t="str">
        <f t="shared" si="1"/>
        <v/>
      </c>
    </row>
    <row r="35" spans="2:4" x14ac:dyDescent="0.35">
      <c r="B35" s="67">
        <v>3</v>
      </c>
      <c r="C35" s="68">
        <f t="shared" si="0"/>
        <v>3.3000000000000003</v>
      </c>
      <c r="D35" s="60" t="str">
        <f t="shared" si="1"/>
        <v/>
      </c>
    </row>
    <row r="36" spans="2:4" x14ac:dyDescent="0.35">
      <c r="B36" s="67">
        <v>4</v>
      </c>
      <c r="C36" s="68">
        <f t="shared" si="0"/>
        <v>4</v>
      </c>
      <c r="D36" s="60" t="str">
        <f t="shared" si="1"/>
        <v/>
      </c>
    </row>
    <row r="37" spans="2:4" x14ac:dyDescent="0.35">
      <c r="B37" s="67">
        <v>5</v>
      </c>
      <c r="C37" s="68">
        <f t="shared" si="0"/>
        <v>4.8</v>
      </c>
      <c r="D37" s="60" t="str">
        <f t="shared" si="1"/>
        <v/>
      </c>
    </row>
    <row r="38" spans="2:4" x14ac:dyDescent="0.35">
      <c r="B38" s="67">
        <v>6</v>
      </c>
      <c r="C38" s="68">
        <f t="shared" si="0"/>
        <v>5.5</v>
      </c>
      <c r="D38" s="60" t="str">
        <f t="shared" si="1"/>
        <v/>
      </c>
    </row>
    <row r="39" spans="2:4" x14ac:dyDescent="0.35">
      <c r="B39" s="67">
        <v>7</v>
      </c>
      <c r="C39" s="68">
        <f t="shared" si="0"/>
        <v>6.3</v>
      </c>
      <c r="D39" s="60" t="str">
        <f t="shared" si="1"/>
        <v/>
      </c>
    </row>
    <row r="40" spans="2:4" x14ac:dyDescent="0.35">
      <c r="B40" s="67">
        <v>8</v>
      </c>
      <c r="C40" s="68">
        <f t="shared" si="0"/>
        <v>7</v>
      </c>
      <c r="D40" s="60" t="str">
        <f t="shared" si="1"/>
        <v/>
      </c>
    </row>
    <row r="41" spans="2:4" x14ac:dyDescent="0.35">
      <c r="B41" s="67">
        <v>9</v>
      </c>
      <c r="C41" s="68">
        <f t="shared" si="0"/>
        <v>7.8</v>
      </c>
      <c r="D41" s="60" t="str">
        <f t="shared" si="1"/>
        <v/>
      </c>
    </row>
    <row r="42" spans="2:4" x14ac:dyDescent="0.35">
      <c r="B42" s="67">
        <v>10</v>
      </c>
      <c r="C42" s="68">
        <f t="shared" si="0"/>
        <v>8.5</v>
      </c>
      <c r="D42" s="60" t="str">
        <f t="shared" si="1"/>
        <v/>
      </c>
    </row>
    <row r="43" spans="2:4" x14ac:dyDescent="0.35">
      <c r="B43" s="67">
        <v>11</v>
      </c>
      <c r="C43" s="68">
        <f t="shared" si="0"/>
        <v>9.2999999999999989</v>
      </c>
      <c r="D43" s="60" t="str">
        <f t="shared" si="1"/>
        <v/>
      </c>
    </row>
    <row r="44" spans="2:4" x14ac:dyDescent="0.35">
      <c r="B44" s="67">
        <v>12</v>
      </c>
      <c r="C44" s="68">
        <f t="shared" si="0"/>
        <v>10</v>
      </c>
      <c r="D44" s="60" t="str">
        <f t="shared" si="1"/>
        <v>X</v>
      </c>
    </row>
    <row r="45" spans="2:4" hidden="1" x14ac:dyDescent="0.35">
      <c r="B45" s="67">
        <f>IF(D32="X","",IF(D33="X",C33,IF(D34="X",C34,IF(D35="X",C35,IF(D36="X",C36,IF(D37="X",C37,IF(D38="X",C38,IF(D39="X",C39,IF(D40="X",C40,IF(D41="X",C41,IF(D42="X",C42,IF(D43="X",C43,IF(D44="X",C44,"")))))))))))))</f>
        <v>10</v>
      </c>
      <c r="C45" s="68"/>
      <c r="D45" s="60"/>
    </row>
    <row r="47" spans="2:4" ht="26.15" customHeight="1" x14ac:dyDescent="0.35">
      <c r="B47" s="65" t="s">
        <v>134</v>
      </c>
    </row>
    <row r="48" spans="2:4" x14ac:dyDescent="0.35">
      <c r="B48" t="s">
        <v>135</v>
      </c>
    </row>
    <row r="49" spans="2:7" ht="35.15" customHeight="1" x14ac:dyDescent="0.35">
      <c r="B49" s="113" t="s">
        <v>7</v>
      </c>
      <c r="C49" s="113"/>
      <c r="D49" s="113"/>
      <c r="E49" s="113"/>
      <c r="F49" s="113"/>
      <c r="G49" s="113"/>
    </row>
    <row r="50" spans="2:7" ht="300" customHeight="1" x14ac:dyDescent="0.35">
      <c r="B50" s="109" t="s">
        <v>155</v>
      </c>
      <c r="C50" s="109"/>
      <c r="D50" s="109"/>
      <c r="E50" s="109"/>
      <c r="F50" s="109"/>
      <c r="G50" s="109"/>
    </row>
    <row r="52" spans="2:7" ht="26.15" customHeight="1" x14ac:dyDescent="0.35">
      <c r="B52" s="65" t="s">
        <v>136</v>
      </c>
    </row>
    <row r="53" spans="2:7" x14ac:dyDescent="0.35">
      <c r="B53" s="69" t="s">
        <v>137</v>
      </c>
    </row>
    <row r="54" spans="2:7" x14ac:dyDescent="0.35">
      <c r="B54" t="s">
        <v>138</v>
      </c>
    </row>
    <row r="57" spans="2:7" x14ac:dyDescent="0.35">
      <c r="B57" t="s">
        <v>139</v>
      </c>
    </row>
    <row r="58" spans="2:7" ht="50.15" customHeight="1" x14ac:dyDescent="0.35">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215900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215900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215900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215900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25400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46" workbookViewId="0">
      <selection activeCell="B46" sqref="B46:G46"/>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27</v>
      </c>
      <c r="B1" s="6" t="s">
        <v>65</v>
      </c>
      <c r="C1" s="50" t="str">
        <f>VLOOKUP(B1,werkprocessen,2,FALSE)</f>
        <v>Presenteert het opgeleverde werk</v>
      </c>
    </row>
    <row r="2" spans="1:7" hidden="1" x14ac:dyDescent="0.35">
      <c r="A2" t="s">
        <v>28</v>
      </c>
      <c r="B2" s="6">
        <f>VLOOKUP(B1,KerntakenEnWerkprocessen!B13:E27,3,FALSE)</f>
        <v>2</v>
      </c>
    </row>
    <row r="3" spans="1:7" hidden="1" x14ac:dyDescent="0.35">
      <c r="A3" t="s">
        <v>29</v>
      </c>
      <c r="B3" s="6">
        <f>VLOOKUP(B1,KerntakenEnWerkprocessen!B13:E27,4,FALSE)</f>
        <v>2</v>
      </c>
    </row>
    <row r="4" spans="1:7" hidden="1" x14ac:dyDescent="0.35">
      <c r="A4" t="s">
        <v>30</v>
      </c>
      <c r="B4" s="6">
        <f>SUM(N:N)</f>
        <v>9</v>
      </c>
      <c r="C4" s="49" t="s">
        <v>31</v>
      </c>
      <c r="D4" s="48" t="b">
        <f>IF(SUM(O:O)&gt;0,TRUE,FALSE)</f>
        <v>1</v>
      </c>
    </row>
    <row r="5" spans="1:7" hidden="1" x14ac:dyDescent="0.35">
      <c r="A5" t="s">
        <v>32</v>
      </c>
      <c r="B5" s="6">
        <f>SUM(M:M)</f>
        <v>9</v>
      </c>
    </row>
    <row r="6" spans="1:7" hidden="1" x14ac:dyDescent="0.35">
      <c r="A6" t="s">
        <v>33</v>
      </c>
      <c r="B6" s="6">
        <f>COUNTIF(N:N,1)</f>
        <v>0</v>
      </c>
    </row>
    <row r="7" spans="1:7" hidden="1" x14ac:dyDescent="0.35">
      <c r="A7" t="s">
        <v>34</v>
      </c>
      <c r="B7" s="6">
        <f>COUNTIF(N:N,2)+COUNTIF(N:N,3)</f>
        <v>3</v>
      </c>
    </row>
    <row r="8" spans="1:7" hidden="1" x14ac:dyDescent="0.35">
      <c r="A8" t="s">
        <v>35</v>
      </c>
      <c r="B8" s="6">
        <f>0.5*B4</f>
        <v>4.5</v>
      </c>
    </row>
    <row r="10" spans="1:7" ht="36.75" customHeight="1" x14ac:dyDescent="0.7">
      <c r="B10" s="96" t="str">
        <f>CONCATENATE(kerntaakCode,": ",kerntaakNaam)</f>
        <v>B1-K2: Werkt in een ontwikkelteam</v>
      </c>
      <c r="C10" s="96"/>
      <c r="D10" s="96"/>
      <c r="E10" s="96"/>
      <c r="F10" s="96"/>
      <c r="G10" s="96"/>
    </row>
    <row r="11" spans="1:7" ht="28.5" customHeight="1" x14ac:dyDescent="0.6">
      <c r="B11" s="97" t="str">
        <f>CONCATENATE(VLOOKUP(B1,werkprocessen,1,FALSE),": ",C1)</f>
        <v>B1-K2-W2: Presenteert het opgeleverde werk</v>
      </c>
      <c r="C11" s="97"/>
      <c r="D11" s="97"/>
      <c r="E11" s="97"/>
      <c r="F11" s="97"/>
      <c r="G11" s="97"/>
    </row>
    <row r="13" spans="1:7" ht="24" customHeight="1" x14ac:dyDescent="0.35">
      <c r="B13" s="88" t="s">
        <v>36</v>
      </c>
      <c r="C13" s="89"/>
      <c r="D13" s="89"/>
      <c r="E13" s="89"/>
      <c r="F13" s="89"/>
      <c r="G13" s="90"/>
    </row>
    <row r="14" spans="1:7" ht="22.5" customHeight="1" x14ac:dyDescent="0.35">
      <c r="B14" s="57" t="s">
        <v>37</v>
      </c>
      <c r="C14" s="80">
        <f>IF(Voorblad!B16="","",Voorblad!B16)</f>
        <v>45604</v>
      </c>
      <c r="D14" s="9"/>
      <c r="E14" s="9"/>
      <c r="F14" s="9"/>
      <c r="G14" s="13"/>
    </row>
    <row r="15" spans="1:7" ht="22.5" customHeight="1" x14ac:dyDescent="0.35">
      <c r="B15" s="57" t="s">
        <v>38</v>
      </c>
      <c r="C15" s="81" t="str">
        <f>IF(Voorblad!B17="","",Voorblad!B17)</f>
        <v>Sofie Brink</v>
      </c>
      <c r="D15" s="10"/>
      <c r="E15" s="10"/>
      <c r="F15" s="10"/>
      <c r="G15" s="14"/>
    </row>
    <row r="16" spans="1:7" ht="22.5" customHeight="1" x14ac:dyDescent="0.35">
      <c r="B16" s="57" t="s">
        <v>39</v>
      </c>
      <c r="C16" s="82">
        <f>IF(Voorblad!B18="","",Voorblad!B18)</f>
        <v>9019232</v>
      </c>
      <c r="D16" s="10"/>
      <c r="E16" s="10"/>
      <c r="F16" s="10"/>
      <c r="G16" s="14"/>
    </row>
    <row r="17" spans="1:15" ht="22.5" customHeight="1" x14ac:dyDescent="0.35">
      <c r="B17" s="57" t="s">
        <v>40</v>
      </c>
      <c r="C17" s="79" t="str">
        <f>IF(Voorblad!B19="","",Voorblad!B19)</f>
        <v>SOD3A</v>
      </c>
      <c r="D17" s="10"/>
      <c r="E17" s="10"/>
      <c r="F17" s="10"/>
      <c r="G17" s="14"/>
    </row>
    <row r="18" spans="1:15" ht="22.5" customHeight="1" x14ac:dyDescent="0.35">
      <c r="B18" s="70" t="s">
        <v>107</v>
      </c>
      <c r="C18" s="79" t="str">
        <f>IF(Voorblad!B20="","",Voorblad!B20)</f>
        <v/>
      </c>
      <c r="D18" s="10"/>
      <c r="E18" s="10"/>
      <c r="F18" s="10"/>
      <c r="G18" s="14"/>
    </row>
    <row r="19" spans="1:15" ht="22.5" customHeight="1" x14ac:dyDescent="0.35">
      <c r="B19" s="70" t="s">
        <v>108</v>
      </c>
      <c r="C19" s="79" t="str">
        <f>IF(Voorblad!B21="","",Voorblad!B21)</f>
        <v>Misha Ho Sam Sooi</v>
      </c>
      <c r="D19" s="10"/>
      <c r="E19" s="10"/>
      <c r="F19" s="10"/>
      <c r="G19" s="14"/>
    </row>
    <row r="20" spans="1:15" ht="23.25" customHeight="1" x14ac:dyDescent="0.35"/>
    <row r="21" spans="1:15" ht="24" customHeight="1" x14ac:dyDescent="0.35">
      <c r="B21" s="110" t="s">
        <v>140</v>
      </c>
      <c r="C21" s="110"/>
      <c r="D21" s="110"/>
      <c r="E21" s="110"/>
      <c r="F21" s="110"/>
      <c r="G21" s="110"/>
    </row>
    <row r="22" spans="1:15" hidden="1" x14ac:dyDescent="0.35">
      <c r="A22" t="s">
        <v>115</v>
      </c>
      <c r="B22" s="58">
        <v>2</v>
      </c>
      <c r="D22" s="8" t="s">
        <v>116</v>
      </c>
      <c r="E22" s="59" t="s">
        <v>141</v>
      </c>
      <c r="G22" s="8" t="s">
        <v>118</v>
      </c>
      <c r="H22" s="58">
        <f>COUNTIF(Beheersingsniveaus!$C$4:$C$154,$E22)</f>
        <v>3</v>
      </c>
    </row>
    <row r="23" spans="1:15" x14ac:dyDescent="0.35">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 customHeight="1" x14ac:dyDescent="0.35">
      <c r="A24" s="62" t="s">
        <v>142</v>
      </c>
      <c r="B24" s="63" t="str">
        <f>VLOOKUP($A24,Beheersingsniveaus!$D$4:$K$154,2,FALSE)</f>
        <v>T7</v>
      </c>
      <c r="C24" s="63" t="s">
        <v>156</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0</v>
      </c>
      <c r="K24" s="58" t="b">
        <v>0</v>
      </c>
      <c r="L24" s="58" t="b">
        <v>1</v>
      </c>
      <c r="M24" s="58">
        <f>IF(L24=TRUE,3,IF(K24=TRUE,2,IF(J24=TRUE,1,IF(I24=TRUE,0,0))))</f>
        <v>3</v>
      </c>
      <c r="N24" s="58">
        <f>(4-COUNTBLANK(D24:G24))-1</f>
        <v>3</v>
      </c>
      <c r="O24" s="58">
        <f>COUNTA(I24:L24)</f>
        <v>4</v>
      </c>
    </row>
    <row r="25" spans="1:15" ht="145" customHeight="1" x14ac:dyDescent="0.35">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0</v>
      </c>
      <c r="L25" s="58" t="b">
        <v>1</v>
      </c>
      <c r="M25" s="58">
        <f>IF(L25=TRUE,3,IF(K25=TRUE,2,IF(J25=TRUE,1,IF(I25=TRUE,0,0))))</f>
        <v>3</v>
      </c>
      <c r="N25" s="58">
        <f>(4-COUNTBLANK(D25:G25))-1</f>
        <v>3</v>
      </c>
      <c r="O25" s="58">
        <f>COUNTA(I25:L25)</f>
        <v>3</v>
      </c>
    </row>
    <row r="26" spans="1:15" ht="85" customHeight="1" x14ac:dyDescent="0.35">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6">
      <c r="B28" s="111" t="s">
        <v>145</v>
      </c>
      <c r="C28" s="112"/>
      <c r="D28" s="112"/>
      <c r="E28" s="112"/>
      <c r="F28" s="112"/>
      <c r="G28" s="112"/>
    </row>
    <row r="29" spans="1:15" ht="26.15" customHeight="1" x14ac:dyDescent="0.35">
      <c r="B29" s="65" t="s">
        <v>130</v>
      </c>
    </row>
    <row r="30" spans="1:15" x14ac:dyDescent="0.35">
      <c r="B30" s="66" t="s">
        <v>131</v>
      </c>
      <c r="C30" s="66" t="s">
        <v>132</v>
      </c>
      <c r="D30" s="87" t="s">
        <v>133</v>
      </c>
    </row>
    <row r="31" spans="1:15" x14ac:dyDescent="0.35">
      <c r="B31" s="67">
        <v>0</v>
      </c>
      <c r="C31" s="68">
        <f t="shared" ref="C31:C40" si="0">ROUNDUP(IF(B31&lt;$B$8,4.5/$B$8*B31+1,4.5/($B$4-$B$8)*(B31-$B$8)+5.5),1)</f>
        <v>1</v>
      </c>
      <c r="D31" s="60"/>
    </row>
    <row r="32" spans="1:15" x14ac:dyDescent="0.35">
      <c r="B32" s="67">
        <v>1</v>
      </c>
      <c r="C32" s="68">
        <f t="shared" si="0"/>
        <v>2</v>
      </c>
      <c r="D32" s="60" t="str">
        <f t="shared" ref="D32:D40" si="1">IF($B32=$B$5,"X","")</f>
        <v/>
      </c>
    </row>
    <row r="33" spans="2:7" x14ac:dyDescent="0.35">
      <c r="B33" s="67">
        <v>2</v>
      </c>
      <c r="C33" s="68">
        <f t="shared" si="0"/>
        <v>3</v>
      </c>
      <c r="D33" s="60" t="str">
        <f t="shared" si="1"/>
        <v/>
      </c>
    </row>
    <row r="34" spans="2:7" x14ac:dyDescent="0.35">
      <c r="B34" s="67">
        <v>3</v>
      </c>
      <c r="C34" s="68">
        <f t="shared" si="0"/>
        <v>4</v>
      </c>
      <c r="D34" s="60" t="str">
        <f t="shared" si="1"/>
        <v/>
      </c>
    </row>
    <row r="35" spans="2:7" x14ac:dyDescent="0.35">
      <c r="B35" s="67">
        <v>4</v>
      </c>
      <c r="C35" s="68">
        <f t="shared" si="0"/>
        <v>5</v>
      </c>
      <c r="D35" s="60"/>
    </row>
    <row r="36" spans="2:7" x14ac:dyDescent="0.35">
      <c r="B36" s="67">
        <v>5</v>
      </c>
      <c r="C36" s="68">
        <f t="shared" si="0"/>
        <v>6</v>
      </c>
      <c r="D36" s="60" t="str">
        <f t="shared" si="1"/>
        <v/>
      </c>
    </row>
    <row r="37" spans="2:7" x14ac:dyDescent="0.35">
      <c r="B37" s="67">
        <v>6</v>
      </c>
      <c r="C37" s="68">
        <f t="shared" si="0"/>
        <v>7</v>
      </c>
      <c r="D37" s="60" t="str">
        <f t="shared" si="1"/>
        <v/>
      </c>
    </row>
    <row r="38" spans="2:7" x14ac:dyDescent="0.35">
      <c r="B38" s="67">
        <v>7</v>
      </c>
      <c r="C38" s="68">
        <f t="shared" si="0"/>
        <v>8</v>
      </c>
      <c r="D38" s="60" t="str">
        <f t="shared" si="1"/>
        <v/>
      </c>
    </row>
    <row r="39" spans="2:7" x14ac:dyDescent="0.35">
      <c r="B39" s="67">
        <v>8</v>
      </c>
      <c r="C39" s="68">
        <f t="shared" si="0"/>
        <v>9</v>
      </c>
      <c r="D39" s="60" t="str">
        <f t="shared" si="1"/>
        <v/>
      </c>
    </row>
    <row r="40" spans="2:7" x14ac:dyDescent="0.35">
      <c r="B40" s="67">
        <v>9</v>
      </c>
      <c r="C40" s="68">
        <f t="shared" si="0"/>
        <v>10</v>
      </c>
      <c r="D40" s="60" t="str">
        <f t="shared" si="1"/>
        <v>X</v>
      </c>
    </row>
    <row r="41" spans="2:7" ht="15" hidden="1" customHeight="1" x14ac:dyDescent="0.35">
      <c r="B41" s="67">
        <f>IF(D31="X","",IF(D32="X",C32,IF(D33="X",C33,IF(D34="X",C34,IF(D35="X",C35,IF(D36="X",C36,IF(D37="X",C37,IF(D38="X",C38,IF(D39="X",C39,IF(D40="X",C40,""))))))))))</f>
        <v>10</v>
      </c>
      <c r="C41" s="68"/>
      <c r="D41" s="60"/>
    </row>
    <row r="43" spans="2:7" ht="26.15" customHeight="1" x14ac:dyDescent="0.35">
      <c r="B43" s="65" t="s">
        <v>134</v>
      </c>
    </row>
    <row r="44" spans="2:7" x14ac:dyDescent="0.35">
      <c r="B44" t="s">
        <v>135</v>
      </c>
    </row>
    <row r="45" spans="2:7" ht="35.15" customHeight="1" x14ac:dyDescent="0.35">
      <c r="B45" s="113" t="s">
        <v>7</v>
      </c>
      <c r="C45" s="113"/>
      <c r="D45" s="113"/>
      <c r="E45" s="113"/>
      <c r="F45" s="113"/>
      <c r="G45" s="113"/>
    </row>
    <row r="46" spans="2:7" ht="300" customHeight="1" x14ac:dyDescent="0.35">
      <c r="B46" s="109" t="s">
        <v>157</v>
      </c>
      <c r="C46" s="109"/>
      <c r="D46" s="109"/>
      <c r="E46" s="109"/>
      <c r="F46" s="109"/>
      <c r="G46" s="109"/>
    </row>
    <row r="48" spans="2:7" ht="26.15" customHeight="1" x14ac:dyDescent="0.35">
      <c r="B48" s="65" t="s">
        <v>136</v>
      </c>
    </row>
    <row r="49" spans="2:7" x14ac:dyDescent="0.35">
      <c r="B49" s="69" t="s">
        <v>137</v>
      </c>
    </row>
    <row r="50" spans="2:7" x14ac:dyDescent="0.35">
      <c r="B50" t="s">
        <v>138</v>
      </c>
    </row>
    <row r="53" spans="2:7" x14ac:dyDescent="0.35">
      <c r="B53" t="s">
        <v>139</v>
      </c>
    </row>
    <row r="54" spans="2:7" ht="50.15" customHeight="1" x14ac:dyDescent="0.35">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25400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opLeftCell="B9" workbookViewId="0">
      <selection activeCell="C16" sqref="C16"/>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27</v>
      </c>
      <c r="B1" s="6" t="s">
        <v>67</v>
      </c>
      <c r="C1" s="50" t="str">
        <f>VLOOKUP(B1,werkprocessen,2,FALSE)</f>
        <v>Reflecteert op het werk</v>
      </c>
    </row>
    <row r="2" spans="1:7" hidden="1" x14ac:dyDescent="0.35">
      <c r="A2" t="s">
        <v>28</v>
      </c>
      <c r="B2" s="6">
        <f>VLOOKUP(B1,KerntakenEnWerkprocessen!B13:E27,3,FALSE)</f>
        <v>3</v>
      </c>
    </row>
    <row r="3" spans="1:7" hidden="1" x14ac:dyDescent="0.35">
      <c r="A3" t="s">
        <v>29</v>
      </c>
      <c r="B3" s="6">
        <f>VLOOKUP(B1,KerntakenEnWerkprocessen!B13:E27,4,FALSE)</f>
        <v>3</v>
      </c>
    </row>
    <row r="4" spans="1:7" hidden="1" x14ac:dyDescent="0.35">
      <c r="A4" t="s">
        <v>30</v>
      </c>
      <c r="B4" s="6">
        <f>SUM(N:N)</f>
        <v>9</v>
      </c>
      <c r="C4" s="49" t="s">
        <v>31</v>
      </c>
      <c r="D4" s="48" t="b">
        <f>IF(SUM(O:O)&gt;0,TRUE,FALSE)</f>
        <v>1</v>
      </c>
    </row>
    <row r="5" spans="1:7" hidden="1" x14ac:dyDescent="0.35">
      <c r="A5" t="s">
        <v>32</v>
      </c>
      <c r="B5" s="6">
        <f>SUM(M:M)</f>
        <v>9</v>
      </c>
    </row>
    <row r="6" spans="1:7" hidden="1" x14ac:dyDescent="0.35">
      <c r="A6" t="s">
        <v>33</v>
      </c>
      <c r="B6" s="6">
        <f>COUNTIF(N:N,1)</f>
        <v>0</v>
      </c>
    </row>
    <row r="7" spans="1:7" hidden="1" x14ac:dyDescent="0.35">
      <c r="A7" t="s">
        <v>34</v>
      </c>
      <c r="B7" s="6">
        <f>COUNTIF(N:N,2)+COUNTIF(N:N,3)</f>
        <v>3</v>
      </c>
    </row>
    <row r="8" spans="1:7" hidden="1" x14ac:dyDescent="0.35">
      <c r="A8" t="s">
        <v>35</v>
      </c>
      <c r="B8" s="6">
        <f>0.5*B4</f>
        <v>4.5</v>
      </c>
    </row>
    <row r="10" spans="1:7" ht="36.75" customHeight="1" x14ac:dyDescent="0.7">
      <c r="B10" s="96" t="str">
        <f>CONCATENATE(kerntaakCode,": ",kerntaakNaam)</f>
        <v>B1-K2: Werkt in een ontwikkelteam</v>
      </c>
      <c r="C10" s="96"/>
      <c r="D10" s="96"/>
      <c r="E10" s="96"/>
      <c r="F10" s="96"/>
      <c r="G10" s="96"/>
    </row>
    <row r="11" spans="1:7" ht="28.5" customHeight="1" x14ac:dyDescent="0.6">
      <c r="B11" s="97" t="str">
        <f>CONCATENATE(VLOOKUP(B1,werkprocessen,1,FALSE),": ",C1)</f>
        <v>B1-K2-W3: Reflecteert op het werk</v>
      </c>
      <c r="C11" s="97"/>
      <c r="D11" s="97"/>
      <c r="E11" s="97"/>
      <c r="F11" s="97"/>
      <c r="G11" s="97"/>
    </row>
    <row r="13" spans="1:7" ht="24" customHeight="1" x14ac:dyDescent="0.35">
      <c r="B13" s="88" t="s">
        <v>36</v>
      </c>
      <c r="C13" s="89"/>
      <c r="D13" s="89"/>
      <c r="E13" s="89"/>
      <c r="F13" s="89"/>
      <c r="G13" s="90"/>
    </row>
    <row r="14" spans="1:7" ht="22.5" customHeight="1" x14ac:dyDescent="0.35">
      <c r="B14" s="57" t="s">
        <v>37</v>
      </c>
      <c r="C14" s="80">
        <f>IF(Voorblad!B16="","",Voorblad!B16)</f>
        <v>45604</v>
      </c>
      <c r="D14" s="9"/>
      <c r="E14" s="9"/>
      <c r="F14" s="9"/>
      <c r="G14" s="13"/>
    </row>
    <row r="15" spans="1:7" ht="22.5" customHeight="1" x14ac:dyDescent="0.35">
      <c r="B15" s="57" t="s">
        <v>38</v>
      </c>
      <c r="C15" s="81" t="str">
        <f>IF(Voorblad!B17="","",Voorblad!B17)</f>
        <v>Sofie Brink</v>
      </c>
      <c r="D15" s="10"/>
      <c r="E15" s="10"/>
      <c r="F15" s="10"/>
      <c r="G15" s="14"/>
    </row>
    <row r="16" spans="1:7" ht="22.5" customHeight="1" x14ac:dyDescent="0.35">
      <c r="B16" s="57" t="s">
        <v>39</v>
      </c>
      <c r="C16" s="82">
        <f>IF(Voorblad!B18="","",Voorblad!B18)</f>
        <v>9019232</v>
      </c>
      <c r="D16" s="10"/>
      <c r="E16" s="10"/>
      <c r="F16" s="10"/>
      <c r="G16" s="14"/>
    </row>
    <row r="17" spans="1:15" ht="22.5" customHeight="1" x14ac:dyDescent="0.35">
      <c r="B17" s="57" t="s">
        <v>40</v>
      </c>
      <c r="C17" s="79" t="str">
        <f>IF(Voorblad!B19="","",Voorblad!B19)</f>
        <v>SOD3A</v>
      </c>
      <c r="D17" s="10"/>
      <c r="E17" s="10"/>
      <c r="F17" s="10"/>
      <c r="G17" s="14"/>
    </row>
    <row r="18" spans="1:15" ht="22.5" customHeight="1" x14ac:dyDescent="0.35">
      <c r="B18" s="70" t="s">
        <v>107</v>
      </c>
      <c r="C18" s="79" t="str">
        <f>IF(Voorblad!B20="","",Voorblad!B20)</f>
        <v/>
      </c>
      <c r="D18" s="10"/>
      <c r="E18" s="10"/>
      <c r="F18" s="10"/>
      <c r="G18" s="14"/>
    </row>
    <row r="19" spans="1:15" ht="22.5" customHeight="1" x14ac:dyDescent="0.35">
      <c r="B19" s="70" t="s">
        <v>108</v>
      </c>
      <c r="C19" s="79" t="str">
        <f>IF(Voorblad!B21="","",Voorblad!B21)</f>
        <v>Misha Ho Sam Sooi</v>
      </c>
      <c r="D19" s="10"/>
      <c r="E19" s="10"/>
      <c r="F19" s="10"/>
      <c r="G19" s="14"/>
    </row>
    <row r="20" spans="1:15" ht="23.25" customHeight="1" x14ac:dyDescent="0.35"/>
    <row r="21" spans="1:15" ht="24" customHeight="1" x14ac:dyDescent="0.35">
      <c r="B21" s="110" t="s">
        <v>146</v>
      </c>
      <c r="C21" s="110"/>
      <c r="D21" s="110"/>
      <c r="E21" s="110"/>
      <c r="F21" s="110"/>
      <c r="G21" s="110"/>
    </row>
    <row r="22" spans="1:15" hidden="1" x14ac:dyDescent="0.35">
      <c r="A22" t="s">
        <v>115</v>
      </c>
      <c r="B22" s="58">
        <v>3</v>
      </c>
      <c r="D22" s="8" t="s">
        <v>116</v>
      </c>
      <c r="E22" s="59" t="s">
        <v>147</v>
      </c>
      <c r="G22" s="8" t="s">
        <v>118</v>
      </c>
      <c r="H22" s="58">
        <f>COUNTIF(Beheersingsniveaus!$C$4:$C$154,$E22)</f>
        <v>3</v>
      </c>
    </row>
    <row r="23" spans="1:15" x14ac:dyDescent="0.35">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 customHeight="1" x14ac:dyDescent="0.35">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c r="L24" s="58" t="b">
        <v>1</v>
      </c>
      <c r="M24" s="58">
        <f>IF(L24=TRUE,3,IF(K24=TRUE,2,IF(J24=TRUE,1,IF(I24=TRUE,0,0))))</f>
        <v>3</v>
      </c>
      <c r="N24" s="58">
        <f>(4-COUNTBLANK(D24:G24))-1</f>
        <v>3</v>
      </c>
      <c r="O24" s="58">
        <f>COUNTA(I24:L24)</f>
        <v>2</v>
      </c>
    </row>
    <row r="25" spans="1:15" ht="100" customHeight="1" x14ac:dyDescent="0.35">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 customHeight="1" x14ac:dyDescent="0.35">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6">
      <c r="B28" s="111" t="s">
        <v>151</v>
      </c>
      <c r="C28" s="112"/>
      <c r="D28" s="112"/>
      <c r="E28" s="112"/>
      <c r="F28" s="112"/>
      <c r="G28" s="112"/>
    </row>
    <row r="29" spans="1:15" ht="26.15" customHeight="1" x14ac:dyDescent="0.35">
      <c r="B29" s="65" t="s">
        <v>130</v>
      </c>
    </row>
    <row r="30" spans="1:15" x14ac:dyDescent="0.35">
      <c r="B30" s="66" t="s">
        <v>131</v>
      </c>
      <c r="C30" s="66" t="s">
        <v>132</v>
      </c>
      <c r="D30" s="87" t="s">
        <v>133</v>
      </c>
    </row>
    <row r="31" spans="1:15" x14ac:dyDescent="0.35">
      <c r="B31" s="67">
        <v>0</v>
      </c>
      <c r="C31" s="68">
        <f t="shared" ref="C31:C40" si="0">ROUNDUP(IF(B31&lt;$B$8,4.5/$B$8*B31+1,4.5/($B$4-$B$8)*(B31-$B$8)+5.5),1)</f>
        <v>1</v>
      </c>
      <c r="D31" s="60"/>
    </row>
    <row r="32" spans="1:15" x14ac:dyDescent="0.35">
      <c r="B32" s="67">
        <v>1</v>
      </c>
      <c r="C32" s="68">
        <f t="shared" si="0"/>
        <v>2</v>
      </c>
      <c r="D32" s="60" t="str">
        <f t="shared" ref="D32:D40" si="1">IF($B32=$B$5,"X","")</f>
        <v/>
      </c>
    </row>
    <row r="33" spans="2:7" x14ac:dyDescent="0.35">
      <c r="B33" s="67">
        <v>2</v>
      </c>
      <c r="C33" s="68">
        <f t="shared" si="0"/>
        <v>3</v>
      </c>
      <c r="D33" s="60" t="str">
        <f t="shared" si="1"/>
        <v/>
      </c>
    </row>
    <row r="34" spans="2:7" x14ac:dyDescent="0.35">
      <c r="B34" s="67">
        <v>3</v>
      </c>
      <c r="C34" s="68">
        <f t="shared" si="0"/>
        <v>4</v>
      </c>
      <c r="D34" s="60" t="str">
        <f t="shared" si="1"/>
        <v/>
      </c>
    </row>
    <row r="35" spans="2:7" x14ac:dyDescent="0.35">
      <c r="B35" s="67">
        <v>4</v>
      </c>
      <c r="C35" s="68">
        <f t="shared" si="0"/>
        <v>5</v>
      </c>
      <c r="D35" s="60" t="str">
        <f t="shared" si="1"/>
        <v/>
      </c>
    </row>
    <row r="36" spans="2:7" x14ac:dyDescent="0.35">
      <c r="B36" s="67">
        <v>5</v>
      </c>
      <c r="C36" s="68">
        <f t="shared" si="0"/>
        <v>6</v>
      </c>
      <c r="D36" s="60" t="str">
        <f t="shared" si="1"/>
        <v/>
      </c>
    </row>
    <row r="37" spans="2:7" x14ac:dyDescent="0.35">
      <c r="B37" s="67">
        <v>6</v>
      </c>
      <c r="C37" s="68">
        <f t="shared" si="0"/>
        <v>7</v>
      </c>
      <c r="D37" s="60" t="str">
        <f t="shared" si="1"/>
        <v/>
      </c>
    </row>
    <row r="38" spans="2:7" x14ac:dyDescent="0.35">
      <c r="B38" s="67">
        <v>7</v>
      </c>
      <c r="C38" s="68">
        <f t="shared" si="0"/>
        <v>8</v>
      </c>
      <c r="D38" s="60" t="str">
        <f t="shared" si="1"/>
        <v/>
      </c>
    </row>
    <row r="39" spans="2:7" x14ac:dyDescent="0.35">
      <c r="B39" s="67">
        <v>8</v>
      </c>
      <c r="C39" s="68">
        <f t="shared" si="0"/>
        <v>9</v>
      </c>
      <c r="D39" s="60" t="str">
        <f t="shared" si="1"/>
        <v/>
      </c>
    </row>
    <row r="40" spans="2:7" x14ac:dyDescent="0.35">
      <c r="B40" s="67">
        <v>9</v>
      </c>
      <c r="C40" s="68">
        <f t="shared" si="0"/>
        <v>10</v>
      </c>
      <c r="D40" s="60" t="str">
        <f t="shared" si="1"/>
        <v>X</v>
      </c>
    </row>
    <row r="41" spans="2:7" hidden="1" x14ac:dyDescent="0.35">
      <c r="B41" s="67">
        <f>IF(D31="X","",IF(D32="X",C32,IF(D33="X",C33,IF(D34="X",C34,IF(D35="X",C35,IF(D36="X",C36,IF(D37="X",C37,IF(D38="X",C38,IF(D39="X",C39,IF(D40="X",C40,""))))))))))</f>
        <v>10</v>
      </c>
      <c r="C41" s="68"/>
      <c r="D41" s="60"/>
    </row>
    <row r="43" spans="2:7" ht="26.15" customHeight="1" x14ac:dyDescent="0.35">
      <c r="B43" s="65" t="s">
        <v>134</v>
      </c>
    </row>
    <row r="44" spans="2:7" x14ac:dyDescent="0.35">
      <c r="B44" t="s">
        <v>135</v>
      </c>
    </row>
    <row r="45" spans="2:7" ht="35.15" customHeight="1" x14ac:dyDescent="0.35">
      <c r="B45" s="113" t="s">
        <v>7</v>
      </c>
      <c r="C45" s="113"/>
      <c r="D45" s="113"/>
      <c r="E45" s="113"/>
      <c r="F45" s="113"/>
      <c r="G45" s="113"/>
    </row>
    <row r="46" spans="2:7" ht="300" customHeight="1" x14ac:dyDescent="0.35">
      <c r="B46" s="109" t="s">
        <v>158</v>
      </c>
      <c r="C46" s="109"/>
      <c r="D46" s="109"/>
      <c r="E46" s="109"/>
      <c r="F46" s="109"/>
      <c r="G46" s="109"/>
    </row>
    <row r="48" spans="2:7" ht="26.15" customHeight="1" x14ac:dyDescent="0.35">
      <c r="B48" s="65" t="s">
        <v>136</v>
      </c>
    </row>
    <row r="49" spans="2:7" x14ac:dyDescent="0.35">
      <c r="B49" s="69" t="s">
        <v>137</v>
      </c>
    </row>
    <row r="50" spans="2:7" x14ac:dyDescent="0.35">
      <c r="B50" t="s">
        <v>138</v>
      </c>
    </row>
    <row r="53" spans="2:7" x14ac:dyDescent="0.35">
      <c r="B53" t="s">
        <v>139</v>
      </c>
    </row>
    <row r="54" spans="2:7" ht="50.15" customHeight="1" x14ac:dyDescent="0.35">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25400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2.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8D05236-1BC1-47B3-BB96-08221093C5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18</vt:i4>
      </vt:variant>
    </vt:vector>
  </HeadingPairs>
  <TitlesOfParts>
    <vt:vector size="22" baseType="lpstr">
      <vt:lpstr>Voorblad</vt:lpstr>
      <vt:lpstr>B1-K2-W1</vt:lpstr>
      <vt:lpstr>B1-K2-W2</vt:lpstr>
      <vt:lpstr>B1-K2-W3</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'B1-K2-W1'!Print_Area</vt:lpstr>
      <vt:lpstr>'B1-K2-W2'!Print_Area</vt:lpstr>
      <vt:lpstr>'B1-K2-W3'!Print_Area</vt:lpstr>
      <vt:lpstr>SjabloonVoorblad!Print_Area</vt:lpstr>
      <vt:lpstr>SjabloonWerkproces!Print_Area</vt:lpstr>
      <vt:lpstr>Voorblad!Print_Area</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Misha Ho-Sam-Sooi</cp:lastModifiedBy>
  <cp:revision/>
  <dcterms:created xsi:type="dcterms:W3CDTF">2015-10-30T11:14:52Z</dcterms:created>
  <dcterms:modified xsi:type="dcterms:W3CDTF">2024-11-08T10:33:30Z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